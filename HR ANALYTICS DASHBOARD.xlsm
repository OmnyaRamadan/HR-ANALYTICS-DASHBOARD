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hidePivotFieldList="1"/>
  <mc:AlternateContent xmlns:mc="http://schemas.openxmlformats.org/markup-compatibility/2006">
    <mc:Choice Requires="x15">
      <x15ac:absPath xmlns:x15ac="http://schemas.microsoft.com/office/spreadsheetml/2010/11/ac" url="C:\Users\LENOVO\Downloads\"/>
    </mc:Choice>
  </mc:AlternateContent>
  <xr:revisionPtr revIDLastSave="0" documentId="13_ncr:1_{6B6B65BC-EF4D-41FA-B36C-2176ADF3A73A}" xr6:coauthVersionLast="47" xr6:coauthVersionMax="47" xr10:uidLastSave="{00000000-0000-0000-0000-000000000000}"/>
  <bookViews>
    <workbookView xWindow="-108" yWindow="-108" windowWidth="23256" windowHeight="12576" activeTab="2" xr2:uid="{00000000-000D-0000-FFFF-FFFF00000000}"/>
  </bookViews>
  <sheets>
    <sheet name="Data" sheetId="3" r:id="rId1"/>
    <sheet name="Pivot tables" sheetId="6" r:id="rId2"/>
    <sheet name="Dashboard" sheetId="2" r:id="rId3"/>
  </sheets>
  <definedNames>
    <definedName name="_xlchart.v1.0" hidden="1">'Pivot tables'!$D$12:$D$15</definedName>
    <definedName name="_xlchart.v1.1" hidden="1">'Pivot tables'!$E$12:$E$15</definedName>
    <definedName name="_xlchart.v1.2" hidden="1">'Pivot tables'!$D$12:$D$15</definedName>
    <definedName name="_xlchart.v1.3" hidden="1">'Pivot tables'!$E$12:$E$15</definedName>
    <definedName name="_xlchart.v1.4" hidden="1">'Pivot tables'!$D$12:$D$15</definedName>
    <definedName name="_xlchart.v1.5" hidden="1">'Pivot tables'!$E$12:$E$15</definedName>
    <definedName name="Slicer_Job_Title">#N/A</definedName>
    <definedName name="Slicer_Month">#N/A</definedName>
    <definedName name="Slicer_Year">#N/A</definedName>
  </definedNames>
  <calcPr calcId="191029"/>
  <pivotCaches>
    <pivotCache cacheId="15"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QbVAWm+mo7mE9ap/V13jFVQLB6GXvQdkvx5/BPtkDgQ="/>
    </ext>
  </extLst>
</workbook>
</file>

<file path=xl/calcChain.xml><?xml version="1.0" encoding="utf-8"?>
<calcChain xmlns="http://schemas.openxmlformats.org/spreadsheetml/2006/main">
  <c r="E15" i="6" l="1"/>
  <c r="E14" i="6"/>
  <c r="E13" i="6"/>
  <c r="E12" i="6"/>
  <c r="E10" i="6"/>
  <c r="E9" i="6"/>
  <c r="E6" i="6"/>
  <c r="E5" i="6"/>
  <c r="E4" i="6"/>
</calcChain>
</file>

<file path=xl/sharedStrings.xml><?xml version="1.0" encoding="utf-8"?>
<sst xmlns="http://schemas.openxmlformats.org/spreadsheetml/2006/main" count="184" uniqueCount="71">
  <si>
    <t>Month</t>
  </si>
  <si>
    <t>Year</t>
  </si>
  <si>
    <t>Department</t>
  </si>
  <si>
    <t>Job Title</t>
  </si>
  <si>
    <t>Total Employees</t>
  </si>
  <si>
    <t>Salary</t>
  </si>
  <si>
    <t>Tenure (Years)</t>
  </si>
  <si>
    <t>Job Satisfaction %</t>
  </si>
  <si>
    <t>Job Unsatisfaction %</t>
  </si>
  <si>
    <t>Apr-22</t>
  </si>
  <si>
    <t>Apple</t>
  </si>
  <si>
    <t>Analyst</t>
  </si>
  <si>
    <t>Apr-23</t>
  </si>
  <si>
    <t>Pinterest</t>
  </si>
  <si>
    <t>Technical Support</t>
  </si>
  <si>
    <t>Aug-22</t>
  </si>
  <si>
    <t>Zoom</t>
  </si>
  <si>
    <t>Manager</t>
  </si>
  <si>
    <t>Aug-23</t>
  </si>
  <si>
    <t>Tiktok</t>
  </si>
  <si>
    <t>Security</t>
  </si>
  <si>
    <t>Microsoft</t>
  </si>
  <si>
    <t>Amazon</t>
  </si>
  <si>
    <t>Dec-22</t>
  </si>
  <si>
    <t>Reddit</t>
  </si>
  <si>
    <t>Tencent</t>
  </si>
  <si>
    <t>Feb-23</t>
  </si>
  <si>
    <t>LinkedIn</t>
  </si>
  <si>
    <t>Meta</t>
  </si>
  <si>
    <t>Cisco</t>
  </si>
  <si>
    <t>Oracle</t>
  </si>
  <si>
    <t>Jan-23</t>
  </si>
  <si>
    <t>Samsung</t>
  </si>
  <si>
    <t>Broadcom</t>
  </si>
  <si>
    <t>SAP</t>
  </si>
  <si>
    <t>Salesforce</t>
  </si>
  <si>
    <t>Jul-22</t>
  </si>
  <si>
    <t>Facebook</t>
  </si>
  <si>
    <t>Adobe</t>
  </si>
  <si>
    <t>Intuit</t>
  </si>
  <si>
    <t>Jul-23</t>
  </si>
  <si>
    <t>Alphabet</t>
  </si>
  <si>
    <t>Jun-22</t>
  </si>
  <si>
    <t>Instagram</t>
  </si>
  <si>
    <t>Shopify</t>
  </si>
  <si>
    <t>Synopsis</t>
  </si>
  <si>
    <t>Jun-23</t>
  </si>
  <si>
    <t>Snapchat</t>
  </si>
  <si>
    <t>Globe</t>
  </si>
  <si>
    <t>Mar-23</t>
  </si>
  <si>
    <t>Jobstreet</t>
  </si>
  <si>
    <t>May-22</t>
  </si>
  <si>
    <t>Messenger</t>
  </si>
  <si>
    <t>May-23</t>
  </si>
  <si>
    <t>Youtube</t>
  </si>
  <si>
    <t>Nov-22</t>
  </si>
  <si>
    <t>Twitter</t>
  </si>
  <si>
    <t>Oct-22</t>
  </si>
  <si>
    <t>Threads</t>
  </si>
  <si>
    <t>Sep-22</t>
  </si>
  <si>
    <t>Whatsapp</t>
  </si>
  <si>
    <t>Sep-23</t>
  </si>
  <si>
    <t>Viber</t>
  </si>
  <si>
    <t>Sum of Total Employees</t>
  </si>
  <si>
    <t>Values</t>
  </si>
  <si>
    <t>Average of Salary</t>
  </si>
  <si>
    <t>Average of Tenure (Years)</t>
  </si>
  <si>
    <t>Average of Job Satisfaction %</t>
  </si>
  <si>
    <t>Average of Job Unsatisfaction %</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</si>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</sst>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 #,##0_-;\-* #,##0_-;_-* &quot;-&quot;??_-;_-@"/>
    <numFmt numFmtId="165" formatCode="_(* #,##0.0_);_(* \(#,##0.0\);_(* &quot;-&quot;??_);_(@_)"/>
    <numFmt numFmtId="166" formatCode="_(* #,##0_);_(* \(#,##0\);_(* &quot;-&quot;??_);_(@_)"/>
    <numFmt numFmtId="170" formatCode="0.0"/>
    <numFmt numFmtId="171" formatCode="&quot;$&quot;* #,##0_);_(* \(#,##0\);_(* &quot;-&quot;??_);_(@_)"/>
  </numFmts>
  <fonts count="5" x14ac:knownFonts="1">
    <font>
      <sz val="11"/>
      <color theme="1"/>
      <name val="Calibri"/>
      <scheme val="minor"/>
    </font>
    <font>
      <sz val="11"/>
      <color theme="1"/>
      <name val="Calibri"/>
    </font>
    <font>
      <b/>
      <sz val="12"/>
      <color theme="1"/>
      <name val="Calibri"/>
    </font>
    <font>
      <sz val="12"/>
      <color theme="1"/>
      <name val="Calibri"/>
    </font>
    <font>
      <sz val="11"/>
      <color theme="1"/>
      <name val="Calibri"/>
      <scheme val="minor"/>
    </font>
  </fonts>
  <fills count="6">
    <fill>
      <patternFill patternType="none"/>
    </fill>
    <fill>
      <patternFill patternType="gray125"/>
    </fill>
    <fill>
      <patternFill patternType="solid">
        <fgColor rgb="FFFFFF00"/>
        <bgColor rgb="FFFFFF00"/>
      </patternFill>
    </fill>
    <fill>
      <patternFill patternType="solid">
        <fgColor theme="4" tint="0.59999389629810485"/>
        <bgColor indexed="64"/>
      </patternFill>
    </fill>
    <fill>
      <patternFill patternType="solid">
        <fgColor theme="2" tint="-4.9989318521683403E-2"/>
        <bgColor indexed="64"/>
      </patternFill>
    </fill>
    <fill>
      <patternFill patternType="solid">
        <fgColor theme="2" tint="-0.249977111117893"/>
        <bgColor indexed="64"/>
      </patternFill>
    </fill>
  </fills>
  <borders count="12">
    <border>
      <left/>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
      <left style="thin">
        <color rgb="FF999999"/>
      </left>
      <right style="thin">
        <color rgb="FF999999"/>
      </right>
      <top style="thin">
        <color indexed="65"/>
      </top>
      <bottom/>
      <diagonal/>
    </border>
    <border>
      <left style="thin">
        <color rgb="FF999999"/>
      </left>
      <right style="thin">
        <color rgb="FF999999"/>
      </right>
      <top style="thin">
        <color indexed="65"/>
      </top>
      <bottom style="thin">
        <color rgb="FF999999"/>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4" fillId="0" borderId="0" applyFont="0" applyFill="0" applyBorder="0" applyAlignment="0" applyProtection="0"/>
    <xf numFmtId="9" fontId="4" fillId="0" borderId="0" applyFont="0" applyFill="0" applyBorder="0" applyAlignment="0" applyProtection="0"/>
  </cellStyleXfs>
  <cellXfs count="28">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3" fillId="0" borderId="2" xfId="0" applyFont="1" applyBorder="1"/>
    <xf numFmtId="164" fontId="3" fillId="0" borderId="2" xfId="0" applyNumberFormat="1" applyFont="1" applyBorder="1"/>
    <xf numFmtId="1" fontId="3" fillId="0" borderId="2" xfId="0" applyNumberFormat="1" applyFont="1" applyBorder="1"/>
    <xf numFmtId="9" fontId="3" fillId="0" borderId="2" xfId="0" applyNumberFormat="1" applyFont="1" applyBorder="1"/>
    <xf numFmtId="0" fontId="1" fillId="0" borderId="0" xfId="0" applyFont="1" applyFill="1"/>
    <xf numFmtId="0" fontId="0" fillId="0" borderId="0" xfId="0" applyFill="1"/>
    <xf numFmtId="0" fontId="0" fillId="3" borderId="3" xfId="0" applyFill="1" applyBorder="1"/>
    <xf numFmtId="0" fontId="0" fillId="3" borderId="6" xfId="0" applyFill="1" applyBorder="1"/>
    <xf numFmtId="0" fontId="0" fillId="4" borderId="3" xfId="0" applyFill="1" applyBorder="1" applyAlignment="1">
      <alignment horizontal="left"/>
    </xf>
    <xf numFmtId="166" fontId="0" fillId="4" borderId="6" xfId="0" applyNumberFormat="1" applyFill="1" applyBorder="1"/>
    <xf numFmtId="0" fontId="0" fillId="4" borderId="4" xfId="0" applyFill="1" applyBorder="1" applyAlignment="1">
      <alignment horizontal="left"/>
    </xf>
    <xf numFmtId="0" fontId="0" fillId="4" borderId="5" xfId="0" applyFill="1" applyBorder="1" applyAlignment="1">
      <alignment horizontal="left"/>
    </xf>
    <xf numFmtId="166" fontId="0" fillId="4" borderId="10" xfId="0" applyNumberFormat="1" applyFill="1" applyBorder="1"/>
    <xf numFmtId="9" fontId="0" fillId="4" borderId="6" xfId="0" applyNumberFormat="1" applyFill="1" applyBorder="1"/>
    <xf numFmtId="9" fontId="0" fillId="4" borderId="10" xfId="0" applyNumberFormat="1" applyFill="1" applyBorder="1"/>
    <xf numFmtId="0" fontId="0" fillId="4" borderId="6" xfId="0" applyNumberFormat="1" applyFill="1" applyBorder="1"/>
    <xf numFmtId="0" fontId="0" fillId="4" borderId="9" xfId="0" applyNumberFormat="1" applyFill="1" applyBorder="1"/>
    <xf numFmtId="0" fontId="0" fillId="5" borderId="8" xfId="0" applyFill="1" applyBorder="1" applyAlignment="1">
      <alignment horizontal="left"/>
    </xf>
    <xf numFmtId="0" fontId="0" fillId="5" borderId="7" xfId="0" applyNumberFormat="1" applyFill="1" applyBorder="1"/>
    <xf numFmtId="0" fontId="0" fillId="0" borderId="11" xfId="0" applyFill="1" applyBorder="1" applyAlignment="1">
      <alignment horizontal="left"/>
    </xf>
    <xf numFmtId="0" fontId="0" fillId="0" borderId="11" xfId="0" applyBorder="1"/>
    <xf numFmtId="170" fontId="0" fillId="0" borderId="11" xfId="0" applyNumberFormat="1" applyBorder="1"/>
    <xf numFmtId="9" fontId="0" fillId="0" borderId="11" xfId="2" applyFont="1" applyBorder="1"/>
    <xf numFmtId="171" fontId="0" fillId="0" borderId="11" xfId="1" applyNumberFormat="1" applyFont="1" applyBorder="1"/>
    <xf numFmtId="165" fontId="0" fillId="4" borderId="9" xfId="0" applyNumberFormat="1" applyFill="1" applyBorder="1"/>
  </cellXfs>
  <cellStyles count="3">
    <cellStyle name="Comma" xfId="1" builtinId="3"/>
    <cellStyle name="Normal" xfId="0" builtinId="0"/>
    <cellStyle name="Percent" xfId="2" builtinId="5"/>
  </cellStyles>
  <dxfs count="1545">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4.9989318521683403E-2"/>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4" tint="0.59999389629810485"/>
        </patternFill>
      </fill>
    </dxf>
    <dxf>
      <fill>
        <patternFill>
          <bgColor theme="2" tint="-4.9989318521683403E-2"/>
        </patternFill>
      </fill>
    </dxf>
    <dxf>
      <fill>
        <patternFill>
          <bgColor theme="2" tint="-0.249977111117893"/>
        </patternFill>
      </fill>
    </dxf>
    <dxf>
      <fill>
        <patternFill>
          <bgColor theme="2" tint="-0.249977111117893"/>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6" formatCode="_(* #,##0_);_(* \(#,##0\);_(* &quot;-&quot;??_);_(@_)"/>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numFmt numFmtId="165" formatCode="_(* #,##0.0_);_(* \(#,##0.0\);_(* &quot;-&quot;??_);_(@_)"/>
    </dxf>
    <dxf>
      <numFmt numFmtId="165" formatCode="_(* #,##0.0_);_(* \(#,##0.0\);_(* &quot;-&quot;??_);_(@_)"/>
    </dxf>
    <dxf>
      <font>
        <color rgb="FF9C6500"/>
      </font>
      <fill>
        <patternFill patternType="solid">
          <fgColor rgb="FFFFEB9C"/>
          <bgColor rgb="FFFFEB9C"/>
        </patternFill>
      </fill>
    </dxf>
    <dxf>
      <fill>
        <patternFill>
          <bgColor theme="2" tint="-4.9989318521683403E-2"/>
        </patternFill>
      </fill>
    </dxf>
    <dxf>
      <fill>
        <patternFill>
          <bgColor theme="2" tint="-4.9989318521683403E-2"/>
        </patternFill>
      </fill>
    </dxf>
    <dxf>
      <fill>
        <patternFill>
          <bgColor theme="4" tint="0.59999389629810485"/>
        </patternFill>
      </fill>
    </dxf>
    <dxf>
      <fill>
        <patternFill>
          <bgColor theme="4" tint="0.59999389629810485"/>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2" tint="-4.9989318521683403E-2"/>
        </patternFill>
      </fill>
    </dxf>
    <dxf>
      <fill>
        <patternFill>
          <bgColor theme="2" tint="-4.9989318521683403E-2"/>
        </patternFill>
      </fill>
    </dxf>
    <dxf>
      <fill>
        <patternFill>
          <bgColor theme="4" tint="0.59999389629810485"/>
        </patternFill>
      </fill>
    </dxf>
    <dxf>
      <fill>
        <patternFill>
          <bgColor theme="4" tint="0.59999389629810485"/>
        </patternFill>
      </fil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numFmt numFmtId="0" formatCode="General"/>
    </dxf>
    <dxf>
      <fill>
        <patternFill>
          <bgColor theme="4" tint="0.59999389629810485"/>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4.9989318521683403E-2"/>
        </patternFill>
      </fill>
    </dxf>
    <dxf>
      <fill>
        <patternFill>
          <bgColor theme="4" tint="0.59999389629810485"/>
        </patternFill>
      </fill>
    </dxf>
    <dxf>
      <fill>
        <patternFill>
          <bgColor theme="4" tint="0.59999389629810485"/>
        </patternFill>
      </fill>
    </dxf>
    <dxf>
      <numFmt numFmtId="0" formatCode="General"/>
    </dxf>
    <dxf>
      <fill>
        <patternFill patternType="solid">
          <bgColor theme="4" tint="0.59999389629810485"/>
        </patternFill>
      </fill>
    </dxf>
    <dxf>
      <fill>
        <patternFill patternType="solid">
          <bgColor theme="4" tint="0.59999389629810485"/>
        </patternFill>
      </fill>
    </dxf>
    <dxf>
      <numFmt numFmtId="13" formatCode="0%"/>
    </dxf>
    <dxf>
      <fill>
        <patternFill patternType="solid">
          <bgColor theme="2" tint="-4.9989318521683403E-2"/>
        </patternFill>
      </fill>
    </dxf>
    <dxf>
      <fill>
        <patternFill patternType="solid">
          <bgColor theme="2" tint="-4.9989318521683403E-2"/>
        </patternFill>
      </fill>
    </dxf>
    <dxf>
      <fill>
        <patternFill patternType="solid">
          <bgColor theme="2" tint="-4.9989318521683403E-2"/>
        </patternFill>
      </fill>
    </dxf>
    <dxf>
      <numFmt numFmtId="13" formatCode="0%"/>
    </dxf>
    <dxf>
      <fill>
        <patternFill patternType="solid">
          <bgColor theme="4" tint="0.59999389629810485"/>
        </patternFill>
      </fill>
    </dxf>
    <dxf>
      <fill>
        <patternFill patternType="solid">
          <bgColor theme="4" tint="0.59999389629810485"/>
        </patternFill>
      </fill>
    </dxf>
    <dxf>
      <fill>
        <patternFill patternType="solid">
          <bgColor theme="2" tint="-4.9989318521683403E-2"/>
        </patternFill>
      </fill>
    </dxf>
    <dxf>
      <fill>
        <patternFill patternType="solid">
          <bgColor theme="4" tint="0.59999389629810485"/>
        </patternFill>
      </fill>
    </dxf>
    <dxf>
      <fill>
        <patternFill patternType="solid">
          <bgColor theme="4" tint="0.59999389629810485"/>
        </patternFill>
      </fill>
    </dxf>
    <dxf>
      <numFmt numFmtId="166" formatCode="_(* #,##0_);_(* \(#,##0\);_(* &quot;-&quot;??_);_(@_)"/>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1">
    <tableStyle name="Data-style" pivot="0" count="3" xr9:uid="{00000000-0011-0000-FFFF-FFFF00000000}">
      <tableStyleElement type="headerRow" dxfId="1544"/>
      <tableStyleElement type="firstRowStripe" dxfId="1543"/>
      <tableStyleElement type="secondRowStripe" dxfId="1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tables!PivotTable3</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w="19050">
            <a:solidFill>
              <a:schemeClr val="lt1"/>
            </a:solidFill>
          </a:ln>
          <a:effectLst/>
        </c:spPr>
        <c:dLbl>
          <c:idx val="0"/>
          <c:layout>
            <c:manualLayout>
              <c:x val="-0.22413782690283252"/>
              <c:y val="-0.10079205096404462"/>
            </c:manualLayout>
          </c:layout>
          <c:spPr>
            <a:noFill/>
            <a:ln>
              <a:noFill/>
            </a:ln>
            <a:effectLst/>
          </c:spPr>
          <c:txPr>
            <a:bodyPr rot="0" spcFirstLastPara="1" vertOverflow="ellipsis" vert="horz" wrap="square" lIns="38100" tIns="19050" rIns="38100" bIns="19050" anchor="ctr" anchorCtr="1">
              <a:spAutoFit/>
            </a:bodyPr>
            <a:lstStyle/>
            <a:p>
              <a:pPr>
                <a:defRPr sz="48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036413551754303"/>
                  <c:h val="0.4704103671706264"/>
                </c:manualLayout>
              </c15:layout>
            </c:ext>
          </c:extLst>
        </c:dLbl>
      </c:pivotFmt>
      <c:pivotFmt>
        <c:idx val="6"/>
        <c:spPr>
          <a:solidFill>
            <a:schemeClr val="bg1">
              <a:lumMod val="75000"/>
            </a:schemeClr>
          </a:solidFill>
          <a:ln w="19050">
            <a:solidFill>
              <a:schemeClr val="lt1"/>
            </a:solidFill>
          </a:ln>
          <a:effectLst/>
        </c:spPr>
        <c:dLbl>
          <c:idx val="0"/>
          <c:layout>
            <c:manualLayout>
              <c:x val="-0.16426266278013327"/>
              <c:y val="0.5981941309255077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1.424294619422572E-2"/>
                  <c:h val="1.4992623664705568E-2"/>
                </c:manualLayout>
              </c15:layout>
            </c:ext>
          </c:extLst>
        </c:dLbl>
      </c:pivotFmt>
    </c:pivotFmts>
    <c:plotArea>
      <c:layout/>
      <c:doughnutChart>
        <c:varyColors val="1"/>
        <c:ser>
          <c:idx val="0"/>
          <c:order val="0"/>
          <c:tx>
            <c:strRef>
              <c:f>'Pivot tables'!$B$8</c:f>
              <c:strCache>
                <c:ptCount val="1"/>
                <c:pt idx="0">
                  <c:v>Total</c:v>
                </c:pt>
              </c:strCache>
            </c:strRef>
          </c:tx>
          <c:dPt>
            <c:idx val="0"/>
            <c:bubble3D val="0"/>
            <c:spPr>
              <a:solidFill>
                <a:srgbClr val="92D050"/>
              </a:solidFill>
              <a:ln w="19050">
                <a:solidFill>
                  <a:schemeClr val="lt1"/>
                </a:solidFill>
              </a:ln>
              <a:effectLst/>
            </c:spPr>
            <c:extLst>
              <c:ext xmlns:c16="http://schemas.microsoft.com/office/drawing/2014/chart" uri="{C3380CC4-5D6E-409C-BE32-E72D297353CC}">
                <c16:uniqueId val="{00000001-AA4A-4BEB-A38E-B842B4F4E0E8}"/>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AA4A-4BEB-A38E-B842B4F4E0E8}"/>
              </c:ext>
            </c:extLst>
          </c:dPt>
          <c:dLbls>
            <c:dLbl>
              <c:idx val="0"/>
              <c:layout>
                <c:manualLayout>
                  <c:x val="-0.22413782690283252"/>
                  <c:y val="-0.10079205096404462"/>
                </c:manualLayout>
              </c:layout>
              <c:spPr>
                <a:noFill/>
                <a:ln>
                  <a:noFill/>
                </a:ln>
                <a:effectLst/>
              </c:spPr>
              <c:txPr>
                <a:bodyPr rot="0" spcFirstLastPara="1" vertOverflow="ellipsis" vert="horz" wrap="square" lIns="38100" tIns="19050" rIns="38100" bIns="19050" anchor="ctr" anchorCtr="1">
                  <a:spAutoFit/>
                </a:bodyPr>
                <a:lstStyle/>
                <a:p>
                  <a:pPr>
                    <a:defRPr sz="48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036413551754303"/>
                      <c:h val="0.4704103671706264"/>
                    </c:manualLayout>
                  </c15:layout>
                </c:ext>
                <c:ext xmlns:c16="http://schemas.microsoft.com/office/drawing/2014/chart" uri="{C3380CC4-5D6E-409C-BE32-E72D297353CC}">
                  <c16:uniqueId val="{00000001-AA4A-4BEB-A38E-B842B4F4E0E8}"/>
                </c:ext>
              </c:extLst>
            </c:dLbl>
            <c:dLbl>
              <c:idx val="1"/>
              <c:layout>
                <c:manualLayout>
                  <c:x val="-0.16426266278013327"/>
                  <c:y val="0.5981941309255077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1.424294619422572E-2"/>
                      <c:h val="1.4992623664705568E-2"/>
                    </c:manualLayout>
                  </c15:layout>
                </c:ext>
                <c:ext xmlns:c16="http://schemas.microsoft.com/office/drawing/2014/chart" uri="{C3380CC4-5D6E-409C-BE32-E72D297353CC}">
                  <c16:uniqueId val="{00000003-AA4A-4BEB-A38E-B842B4F4E0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 tables'!$A$9:$A$10</c:f>
              <c:strCache>
                <c:ptCount val="2"/>
                <c:pt idx="0">
                  <c:v>Average of Job Satisfaction %</c:v>
                </c:pt>
                <c:pt idx="1">
                  <c:v>Average of Job Unsatisfaction %</c:v>
                </c:pt>
              </c:strCache>
            </c:strRef>
          </c:cat>
          <c:val>
            <c:numRef>
              <c:f>'Pivot tables'!$B$9:$B$10</c:f>
              <c:numCache>
                <c:formatCode>0%</c:formatCode>
                <c:ptCount val="2"/>
                <c:pt idx="0">
                  <c:v>0.60628194482428743</c:v>
                </c:pt>
                <c:pt idx="1">
                  <c:v>0.39371805517571268</c:v>
                </c:pt>
              </c:numCache>
            </c:numRef>
          </c:val>
          <c:extLst>
            <c:ext xmlns:c16="http://schemas.microsoft.com/office/drawing/2014/chart" uri="{C3380CC4-5D6E-409C-BE32-E72D297353CC}">
              <c16:uniqueId val="{00000004-AA4A-4BEB-A38E-B842B4F4E0E8}"/>
            </c:ext>
          </c:extLst>
        </c:ser>
        <c:dLbls>
          <c:showLegendKey val="0"/>
          <c:showVal val="1"/>
          <c:showCatName val="0"/>
          <c:showSerName val="0"/>
          <c:showPercent val="0"/>
          <c:showBubbleSize val="0"/>
          <c:showLeaderLines val="0"/>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tables!PivotTable4</c:name>
    <c:fmtId val="7"/>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tables'!$A$20:$A$38</c:f>
              <c:strCache>
                <c:ptCount val="18"/>
                <c:pt idx="0">
                  <c:v>Apr-22</c:v>
                </c:pt>
                <c:pt idx="1">
                  <c:v>Apr-23</c:v>
                </c:pt>
                <c:pt idx="2">
                  <c:v>Aug-22</c:v>
                </c:pt>
                <c:pt idx="3">
                  <c:v>Aug-23</c:v>
                </c:pt>
                <c:pt idx="4">
                  <c:v>Dec-22</c:v>
                </c:pt>
                <c:pt idx="5">
                  <c:v>Feb-23</c:v>
                </c:pt>
                <c:pt idx="6">
                  <c:v>Jan-23</c:v>
                </c:pt>
                <c:pt idx="7">
                  <c:v>Jul-22</c:v>
                </c:pt>
                <c:pt idx="8">
                  <c:v>Jul-23</c:v>
                </c:pt>
                <c:pt idx="9">
                  <c:v>Jun-22</c:v>
                </c:pt>
                <c:pt idx="10">
                  <c:v>Jun-23</c:v>
                </c:pt>
                <c:pt idx="11">
                  <c:v>Mar-23</c:v>
                </c:pt>
                <c:pt idx="12">
                  <c:v>May-22</c:v>
                </c:pt>
                <c:pt idx="13">
                  <c:v>May-23</c:v>
                </c:pt>
                <c:pt idx="14">
                  <c:v>Nov-22</c:v>
                </c:pt>
                <c:pt idx="15">
                  <c:v>Oct-22</c:v>
                </c:pt>
                <c:pt idx="16">
                  <c:v>Sep-22</c:v>
                </c:pt>
                <c:pt idx="17">
                  <c:v>Sep-23</c:v>
                </c:pt>
              </c:strCache>
            </c:strRef>
          </c:cat>
          <c:val>
            <c:numRef>
              <c:f>'Pivot tables'!$B$20:$B$38</c:f>
              <c:numCache>
                <c:formatCode>General</c:formatCode>
                <c:ptCount val="18"/>
                <c:pt idx="0">
                  <c:v>10</c:v>
                </c:pt>
                <c:pt idx="1">
                  <c:v>9</c:v>
                </c:pt>
                <c:pt idx="2">
                  <c:v>11</c:v>
                </c:pt>
                <c:pt idx="3">
                  <c:v>35</c:v>
                </c:pt>
                <c:pt idx="4">
                  <c:v>24</c:v>
                </c:pt>
                <c:pt idx="5">
                  <c:v>51</c:v>
                </c:pt>
                <c:pt idx="6">
                  <c:v>44</c:v>
                </c:pt>
                <c:pt idx="7">
                  <c:v>36</c:v>
                </c:pt>
                <c:pt idx="8">
                  <c:v>15</c:v>
                </c:pt>
                <c:pt idx="9">
                  <c:v>33</c:v>
                </c:pt>
                <c:pt idx="10">
                  <c:v>24</c:v>
                </c:pt>
                <c:pt idx="11">
                  <c:v>15</c:v>
                </c:pt>
                <c:pt idx="12">
                  <c:v>8</c:v>
                </c:pt>
                <c:pt idx="13">
                  <c:v>10</c:v>
                </c:pt>
                <c:pt idx="14">
                  <c:v>11</c:v>
                </c:pt>
                <c:pt idx="15">
                  <c:v>10</c:v>
                </c:pt>
                <c:pt idx="16">
                  <c:v>14</c:v>
                </c:pt>
                <c:pt idx="17">
                  <c:v>9</c:v>
                </c:pt>
              </c:numCache>
            </c:numRef>
          </c:val>
          <c:smooth val="0"/>
          <c:extLst>
            <c:ext xmlns:c16="http://schemas.microsoft.com/office/drawing/2014/chart" uri="{C3380CC4-5D6E-409C-BE32-E72D297353CC}">
              <c16:uniqueId val="{00000000-5E2C-4C73-979A-F83BD8316D2B}"/>
            </c:ext>
          </c:extLst>
        </c:ser>
        <c:dLbls>
          <c:dLblPos val="t"/>
          <c:showLegendKey val="0"/>
          <c:showVal val="1"/>
          <c:showCatName val="0"/>
          <c:showSerName val="0"/>
          <c:showPercent val="0"/>
          <c:showBubbleSize val="0"/>
        </c:dLbls>
        <c:marker val="1"/>
        <c:smooth val="0"/>
        <c:axId val="130646720"/>
        <c:axId val="1881576816"/>
      </c:lineChart>
      <c:catAx>
        <c:axId val="13064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81576816"/>
        <c:crosses val="autoZero"/>
        <c:auto val="1"/>
        <c:lblAlgn val="ctr"/>
        <c:lblOffset val="100"/>
        <c:noMultiLvlLbl val="0"/>
      </c:catAx>
      <c:valAx>
        <c:axId val="188157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46720"/>
        <c:crosses val="autoZero"/>
        <c:crossBetween val="between"/>
      </c:valAx>
      <c:spPr>
        <a:noFill/>
        <a:ln>
          <a:gradFill>
            <a:gsLst>
              <a:gs pos="5000">
                <a:schemeClr val="accent1">
                  <a:lumMod val="6000"/>
                  <a:lumOff val="94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tables!PivotTable6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tables'!$H$3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tables'!$G$4:$G$36</c:f>
              <c:strCache>
                <c:ptCount val="32"/>
                <c:pt idx="0">
                  <c:v>Adobe</c:v>
                </c:pt>
                <c:pt idx="1">
                  <c:v>Alphabet</c:v>
                </c:pt>
                <c:pt idx="2">
                  <c:v>Amazon</c:v>
                </c:pt>
                <c:pt idx="3">
                  <c:v>Apple</c:v>
                </c:pt>
                <c:pt idx="4">
                  <c:v>Broadcom</c:v>
                </c:pt>
                <c:pt idx="5">
                  <c:v>Cisco</c:v>
                </c:pt>
                <c:pt idx="6">
                  <c:v>Facebook</c:v>
                </c:pt>
                <c:pt idx="7">
                  <c:v>Globe</c:v>
                </c:pt>
                <c:pt idx="8">
                  <c:v>Instagram</c:v>
                </c:pt>
                <c:pt idx="9">
                  <c:v>Intuit</c:v>
                </c:pt>
                <c:pt idx="10">
                  <c:v>Jobstreet</c:v>
                </c:pt>
                <c:pt idx="11">
                  <c:v>LinkedIn</c:v>
                </c:pt>
                <c:pt idx="12">
                  <c:v>Messenger</c:v>
                </c:pt>
                <c:pt idx="13">
                  <c:v>Meta</c:v>
                </c:pt>
                <c:pt idx="14">
                  <c:v>Microsoft</c:v>
                </c:pt>
                <c:pt idx="15">
                  <c:v>Oracle</c:v>
                </c:pt>
                <c:pt idx="16">
                  <c:v>Pinterest</c:v>
                </c:pt>
                <c:pt idx="17">
                  <c:v>Reddit</c:v>
                </c:pt>
                <c:pt idx="18">
                  <c:v>Salesforce</c:v>
                </c:pt>
                <c:pt idx="19">
                  <c:v>Samsung</c:v>
                </c:pt>
                <c:pt idx="20">
                  <c:v>SAP</c:v>
                </c:pt>
                <c:pt idx="21">
                  <c:v>Shopify</c:v>
                </c:pt>
                <c:pt idx="22">
                  <c:v>Snapchat</c:v>
                </c:pt>
                <c:pt idx="23">
                  <c:v>Synopsis</c:v>
                </c:pt>
                <c:pt idx="24">
                  <c:v>Tencent</c:v>
                </c:pt>
                <c:pt idx="25">
                  <c:v>Threads</c:v>
                </c:pt>
                <c:pt idx="26">
                  <c:v>Tiktok</c:v>
                </c:pt>
                <c:pt idx="27">
                  <c:v>Twitter</c:v>
                </c:pt>
                <c:pt idx="28">
                  <c:v>Viber</c:v>
                </c:pt>
                <c:pt idx="29">
                  <c:v>Whatsapp</c:v>
                </c:pt>
                <c:pt idx="30">
                  <c:v>Youtube</c:v>
                </c:pt>
                <c:pt idx="31">
                  <c:v>Zoom</c:v>
                </c:pt>
              </c:strCache>
            </c:strRef>
          </c:cat>
          <c:val>
            <c:numRef>
              <c:f>'Pivot tables'!$H$4:$H$36</c:f>
              <c:numCache>
                <c:formatCode>General</c:formatCode>
                <c:ptCount val="32"/>
                <c:pt idx="0">
                  <c:v>15</c:v>
                </c:pt>
                <c:pt idx="1">
                  <c:v>15</c:v>
                </c:pt>
                <c:pt idx="2">
                  <c:v>14</c:v>
                </c:pt>
                <c:pt idx="3">
                  <c:v>10</c:v>
                </c:pt>
                <c:pt idx="4">
                  <c:v>9</c:v>
                </c:pt>
                <c:pt idx="5">
                  <c:v>15</c:v>
                </c:pt>
                <c:pt idx="6">
                  <c:v>9</c:v>
                </c:pt>
                <c:pt idx="7">
                  <c:v>15</c:v>
                </c:pt>
                <c:pt idx="8">
                  <c:v>10</c:v>
                </c:pt>
                <c:pt idx="9">
                  <c:v>12</c:v>
                </c:pt>
                <c:pt idx="10">
                  <c:v>15</c:v>
                </c:pt>
                <c:pt idx="11">
                  <c:v>15</c:v>
                </c:pt>
                <c:pt idx="12">
                  <c:v>8</c:v>
                </c:pt>
                <c:pt idx="13">
                  <c:v>8</c:v>
                </c:pt>
                <c:pt idx="14">
                  <c:v>11</c:v>
                </c:pt>
                <c:pt idx="15">
                  <c:v>13</c:v>
                </c:pt>
                <c:pt idx="16">
                  <c:v>9</c:v>
                </c:pt>
                <c:pt idx="17">
                  <c:v>11</c:v>
                </c:pt>
                <c:pt idx="18">
                  <c:v>15</c:v>
                </c:pt>
                <c:pt idx="19">
                  <c:v>8</c:v>
                </c:pt>
                <c:pt idx="20">
                  <c:v>12</c:v>
                </c:pt>
                <c:pt idx="21">
                  <c:v>13</c:v>
                </c:pt>
                <c:pt idx="22">
                  <c:v>9</c:v>
                </c:pt>
                <c:pt idx="23">
                  <c:v>10</c:v>
                </c:pt>
                <c:pt idx="24">
                  <c:v>13</c:v>
                </c:pt>
                <c:pt idx="25">
                  <c:v>10</c:v>
                </c:pt>
                <c:pt idx="26">
                  <c:v>10</c:v>
                </c:pt>
                <c:pt idx="27">
                  <c:v>11</c:v>
                </c:pt>
                <c:pt idx="28">
                  <c:v>9</c:v>
                </c:pt>
                <c:pt idx="29">
                  <c:v>14</c:v>
                </c:pt>
                <c:pt idx="30">
                  <c:v>10</c:v>
                </c:pt>
                <c:pt idx="31">
                  <c:v>11</c:v>
                </c:pt>
              </c:numCache>
            </c:numRef>
          </c:val>
          <c:extLst>
            <c:ext xmlns:c16="http://schemas.microsoft.com/office/drawing/2014/chart" uri="{C3380CC4-5D6E-409C-BE32-E72D297353CC}">
              <c16:uniqueId val="{00000000-EB3C-412B-A8B6-60FECEE97DB8}"/>
            </c:ext>
          </c:extLst>
        </c:ser>
        <c:dLbls>
          <c:dLblPos val="outEnd"/>
          <c:showLegendKey val="0"/>
          <c:showVal val="1"/>
          <c:showCatName val="0"/>
          <c:showSerName val="0"/>
          <c:showPercent val="0"/>
          <c:showBubbleSize val="0"/>
        </c:dLbls>
        <c:gapWidth val="45"/>
        <c:overlap val="-27"/>
        <c:axId val="130642880"/>
        <c:axId val="98061440"/>
      </c:barChart>
      <c:catAx>
        <c:axId val="13064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61440"/>
        <c:crosses val="autoZero"/>
        <c:auto val="1"/>
        <c:lblAlgn val="ctr"/>
        <c:lblOffset val="100"/>
        <c:noMultiLvlLbl val="0"/>
      </c:catAx>
      <c:valAx>
        <c:axId val="98061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4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5083B63C-0DC7-4229-8A71-2088AEB3E53A}">
          <cx:dataLabels>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190500</xdr:colOff>
      <xdr:row>3</xdr:row>
      <xdr:rowOff>0</xdr:rowOff>
    </xdr:from>
    <xdr:to>
      <xdr:col>22</xdr:col>
      <xdr:colOff>114300</xdr:colOff>
      <xdr:row>9</xdr:row>
      <xdr:rowOff>53340</xdr:rowOff>
    </xdr:to>
    <xdr:sp macro="" textlink="">
      <xdr:nvSpPr>
        <xdr:cNvPr id="45" name="Rectangle 44">
          <a:extLst>
            <a:ext uri="{FF2B5EF4-FFF2-40B4-BE49-F238E27FC236}">
              <a16:creationId xmlns:a16="http://schemas.microsoft.com/office/drawing/2014/main" id="{57CF48FF-AAD0-4C93-9FDA-90F8E20A91A7}"/>
            </a:ext>
          </a:extLst>
        </xdr:cNvPr>
        <xdr:cNvSpPr/>
      </xdr:nvSpPr>
      <xdr:spPr>
        <a:xfrm>
          <a:off x="3314700" y="525780"/>
          <a:ext cx="10546080" cy="1104900"/>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205740</xdr:colOff>
      <xdr:row>9</xdr:row>
      <xdr:rowOff>91440</xdr:rowOff>
    </xdr:from>
    <xdr:to>
      <xdr:col>22</xdr:col>
      <xdr:colOff>99060</xdr:colOff>
      <xdr:row>31</xdr:row>
      <xdr:rowOff>160020</xdr:rowOff>
    </xdr:to>
    <xdr:sp macro="" textlink="">
      <xdr:nvSpPr>
        <xdr:cNvPr id="44" name="Rectangle 43">
          <a:extLst>
            <a:ext uri="{FF2B5EF4-FFF2-40B4-BE49-F238E27FC236}">
              <a16:creationId xmlns:a16="http://schemas.microsoft.com/office/drawing/2014/main" id="{CEFAE51A-2E32-4552-84FC-93D32BB9BA50}"/>
            </a:ext>
          </a:extLst>
        </xdr:cNvPr>
        <xdr:cNvSpPr/>
      </xdr:nvSpPr>
      <xdr:spPr>
        <a:xfrm>
          <a:off x="3329940" y="1668780"/>
          <a:ext cx="10515600" cy="3924300"/>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45720</xdr:colOff>
      <xdr:row>3</xdr:row>
      <xdr:rowOff>129540</xdr:rowOff>
    </xdr:from>
    <xdr:to>
      <xdr:col>18</xdr:col>
      <xdr:colOff>236220</xdr:colOff>
      <xdr:row>4</xdr:row>
      <xdr:rowOff>137160</xdr:rowOff>
    </xdr:to>
    <xdr:sp macro="" textlink="">
      <xdr:nvSpPr>
        <xdr:cNvPr id="16" name="Rectangle 15">
          <a:extLst>
            <a:ext uri="{FF2B5EF4-FFF2-40B4-BE49-F238E27FC236}">
              <a16:creationId xmlns:a16="http://schemas.microsoft.com/office/drawing/2014/main" id="{A205EDA5-B8EA-4185-9F78-66F14BB8D87C}"/>
            </a:ext>
          </a:extLst>
        </xdr:cNvPr>
        <xdr:cNvSpPr/>
      </xdr:nvSpPr>
      <xdr:spPr>
        <a:xfrm>
          <a:off x="11292840" y="655320"/>
          <a:ext cx="190500" cy="18288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533400</xdr:colOff>
      <xdr:row>3</xdr:row>
      <xdr:rowOff>121920</xdr:rowOff>
    </xdr:from>
    <xdr:to>
      <xdr:col>14</xdr:col>
      <xdr:colOff>99060</xdr:colOff>
      <xdr:row>4</xdr:row>
      <xdr:rowOff>129540</xdr:rowOff>
    </xdr:to>
    <xdr:sp macro="" textlink="">
      <xdr:nvSpPr>
        <xdr:cNvPr id="15" name="Rectangle 14">
          <a:extLst>
            <a:ext uri="{FF2B5EF4-FFF2-40B4-BE49-F238E27FC236}">
              <a16:creationId xmlns:a16="http://schemas.microsoft.com/office/drawing/2014/main" id="{FB811599-B42B-4903-AD1C-C7CEF58DAE06}"/>
            </a:ext>
          </a:extLst>
        </xdr:cNvPr>
        <xdr:cNvSpPr/>
      </xdr:nvSpPr>
      <xdr:spPr>
        <a:xfrm>
          <a:off x="8656320" y="647700"/>
          <a:ext cx="190500" cy="18288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365760</xdr:colOff>
      <xdr:row>3</xdr:row>
      <xdr:rowOff>144780</xdr:rowOff>
    </xdr:from>
    <xdr:to>
      <xdr:col>9</xdr:col>
      <xdr:colOff>556260</xdr:colOff>
      <xdr:row>4</xdr:row>
      <xdr:rowOff>152400</xdr:rowOff>
    </xdr:to>
    <xdr:sp macro="" textlink="">
      <xdr:nvSpPr>
        <xdr:cNvPr id="14" name="Rectangle 13">
          <a:extLst>
            <a:ext uri="{FF2B5EF4-FFF2-40B4-BE49-F238E27FC236}">
              <a16:creationId xmlns:a16="http://schemas.microsoft.com/office/drawing/2014/main" id="{225A88F2-1636-4B48-A48B-656FC2A0959A}"/>
            </a:ext>
          </a:extLst>
        </xdr:cNvPr>
        <xdr:cNvSpPr/>
      </xdr:nvSpPr>
      <xdr:spPr>
        <a:xfrm>
          <a:off x="5989320" y="670560"/>
          <a:ext cx="190500" cy="18288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198120</xdr:colOff>
      <xdr:row>3</xdr:row>
      <xdr:rowOff>114300</xdr:rowOff>
    </xdr:from>
    <xdr:to>
      <xdr:col>5</xdr:col>
      <xdr:colOff>388620</xdr:colOff>
      <xdr:row>4</xdr:row>
      <xdr:rowOff>121920</xdr:rowOff>
    </xdr:to>
    <xdr:sp macro="" textlink="">
      <xdr:nvSpPr>
        <xdr:cNvPr id="13" name="Rectangle 12">
          <a:extLst>
            <a:ext uri="{FF2B5EF4-FFF2-40B4-BE49-F238E27FC236}">
              <a16:creationId xmlns:a16="http://schemas.microsoft.com/office/drawing/2014/main" id="{D720BE72-94AF-4B75-86CB-E8D8D134FC5D}"/>
            </a:ext>
          </a:extLst>
        </xdr:cNvPr>
        <xdr:cNvSpPr/>
      </xdr:nvSpPr>
      <xdr:spPr>
        <a:xfrm>
          <a:off x="3322320" y="640080"/>
          <a:ext cx="190500" cy="18288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0</xdr:row>
      <xdr:rowOff>45720</xdr:rowOff>
    </xdr:from>
    <xdr:to>
      <xdr:col>5</xdr:col>
      <xdr:colOff>30480</xdr:colOff>
      <xdr:row>2</xdr:row>
      <xdr:rowOff>144780</xdr:rowOff>
    </xdr:to>
    <xdr:sp macro="" textlink="">
      <xdr:nvSpPr>
        <xdr:cNvPr id="2" name="Rectangle: Diagonal Corners Rounded 1">
          <a:extLst>
            <a:ext uri="{FF2B5EF4-FFF2-40B4-BE49-F238E27FC236}">
              <a16:creationId xmlns:a16="http://schemas.microsoft.com/office/drawing/2014/main" id="{D8ABF450-3CE4-EA64-AA70-08E27EDCF360}"/>
            </a:ext>
          </a:extLst>
        </xdr:cNvPr>
        <xdr:cNvSpPr/>
      </xdr:nvSpPr>
      <xdr:spPr>
        <a:xfrm>
          <a:off x="38100" y="45720"/>
          <a:ext cx="3116580" cy="449580"/>
        </a:xfrm>
        <a:prstGeom prst="round2Diag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Segoe UI" panose="020B0502040204020203" pitchFamily="34" charset="0"/>
              <a:cs typeface="Segoe UI" panose="020B0502040204020203" pitchFamily="34" charset="0"/>
            </a:rPr>
            <a:t>FILTERS:</a:t>
          </a:r>
        </a:p>
      </xdr:txBody>
    </xdr:sp>
    <xdr:clientData/>
  </xdr:twoCellAnchor>
  <xdr:twoCellAnchor>
    <xdr:from>
      <xdr:col>0</xdr:col>
      <xdr:colOff>38100</xdr:colOff>
      <xdr:row>3</xdr:row>
      <xdr:rowOff>7620</xdr:rowOff>
    </xdr:from>
    <xdr:to>
      <xdr:col>5</xdr:col>
      <xdr:colOff>30480</xdr:colOff>
      <xdr:row>8</xdr:row>
      <xdr:rowOff>0</xdr:rowOff>
    </xdr:to>
    <xdr:sp macro="" textlink="">
      <xdr:nvSpPr>
        <xdr:cNvPr id="4" name="Rectangle 3">
          <a:extLst>
            <a:ext uri="{FF2B5EF4-FFF2-40B4-BE49-F238E27FC236}">
              <a16:creationId xmlns:a16="http://schemas.microsoft.com/office/drawing/2014/main" id="{70D4327B-4DE6-E7D3-4B70-B85DE0F4676D}"/>
            </a:ext>
          </a:extLst>
        </xdr:cNvPr>
        <xdr:cNvSpPr/>
      </xdr:nvSpPr>
      <xdr:spPr>
        <a:xfrm>
          <a:off x="38100" y="533400"/>
          <a:ext cx="3116580" cy="8686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latin typeface="Segoe UI" panose="020B0502040204020203" pitchFamily="34" charset="0"/>
              <a:cs typeface="Segoe UI" panose="020B0502040204020203" pitchFamily="34" charset="0"/>
            </a:rPr>
            <a:t>BY YEAR:</a:t>
          </a:r>
        </a:p>
      </xdr:txBody>
    </xdr:sp>
    <xdr:clientData/>
  </xdr:twoCellAnchor>
  <xdr:twoCellAnchor>
    <xdr:from>
      <xdr:col>0</xdr:col>
      <xdr:colOff>45720</xdr:colOff>
      <xdr:row>8</xdr:row>
      <xdr:rowOff>38100</xdr:rowOff>
    </xdr:from>
    <xdr:to>
      <xdr:col>5</xdr:col>
      <xdr:colOff>38100</xdr:colOff>
      <xdr:row>23</xdr:row>
      <xdr:rowOff>15240</xdr:rowOff>
    </xdr:to>
    <xdr:sp macro="" textlink="">
      <xdr:nvSpPr>
        <xdr:cNvPr id="5" name="Rectangle 4">
          <a:extLst>
            <a:ext uri="{FF2B5EF4-FFF2-40B4-BE49-F238E27FC236}">
              <a16:creationId xmlns:a16="http://schemas.microsoft.com/office/drawing/2014/main" id="{2F36AFC7-8492-4684-A3C9-9C5AB39C9A54}"/>
            </a:ext>
          </a:extLst>
        </xdr:cNvPr>
        <xdr:cNvSpPr/>
      </xdr:nvSpPr>
      <xdr:spPr>
        <a:xfrm>
          <a:off x="45720" y="1440180"/>
          <a:ext cx="3116580" cy="26060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latin typeface="Segoe UI" panose="020B0502040204020203" pitchFamily="34" charset="0"/>
              <a:cs typeface="Segoe UI" panose="020B0502040204020203" pitchFamily="34" charset="0"/>
            </a:rPr>
            <a:t>BY MONTH:</a:t>
          </a:r>
        </a:p>
      </xdr:txBody>
    </xdr:sp>
    <xdr:clientData/>
  </xdr:twoCellAnchor>
  <xdr:twoCellAnchor>
    <xdr:from>
      <xdr:col>0</xdr:col>
      <xdr:colOff>45720</xdr:colOff>
      <xdr:row>23</xdr:row>
      <xdr:rowOff>114300</xdr:rowOff>
    </xdr:from>
    <xdr:to>
      <xdr:col>5</xdr:col>
      <xdr:colOff>38100</xdr:colOff>
      <xdr:row>31</xdr:row>
      <xdr:rowOff>160020</xdr:rowOff>
    </xdr:to>
    <xdr:sp macro="" textlink="">
      <xdr:nvSpPr>
        <xdr:cNvPr id="6" name="Rectangle 5">
          <a:extLst>
            <a:ext uri="{FF2B5EF4-FFF2-40B4-BE49-F238E27FC236}">
              <a16:creationId xmlns:a16="http://schemas.microsoft.com/office/drawing/2014/main" id="{8A0F4101-42BE-4EA2-B39E-0621C67B2C3A}"/>
            </a:ext>
          </a:extLst>
        </xdr:cNvPr>
        <xdr:cNvSpPr/>
      </xdr:nvSpPr>
      <xdr:spPr>
        <a:xfrm>
          <a:off x="45720" y="4145280"/>
          <a:ext cx="3116580" cy="1447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latin typeface="Segoe UI" panose="020B0502040204020203" pitchFamily="34" charset="0"/>
              <a:cs typeface="Segoe UI" panose="020B0502040204020203" pitchFamily="34" charset="0"/>
            </a:rPr>
            <a:t>BY</a:t>
          </a:r>
          <a:r>
            <a:rPr lang="en-US" sz="1200" b="1" baseline="0">
              <a:latin typeface="Segoe UI" panose="020B0502040204020203" pitchFamily="34" charset="0"/>
              <a:cs typeface="Segoe UI" panose="020B0502040204020203" pitchFamily="34" charset="0"/>
            </a:rPr>
            <a:t> JOB TITLE:</a:t>
          </a:r>
          <a:endParaRPr lang="en-US" sz="1200" b="1">
            <a:latin typeface="Segoe UI" panose="020B0502040204020203" pitchFamily="34" charset="0"/>
            <a:cs typeface="Segoe UI" panose="020B0502040204020203" pitchFamily="34" charset="0"/>
          </a:endParaRPr>
        </a:p>
      </xdr:txBody>
    </xdr:sp>
    <xdr:clientData/>
  </xdr:twoCellAnchor>
  <xdr:twoCellAnchor>
    <xdr:from>
      <xdr:col>5</xdr:col>
      <xdr:colOff>68580</xdr:colOff>
      <xdr:row>0</xdr:row>
      <xdr:rowOff>45720</xdr:rowOff>
    </xdr:from>
    <xdr:to>
      <xdr:col>22</xdr:col>
      <xdr:colOff>99060</xdr:colOff>
      <xdr:row>2</xdr:row>
      <xdr:rowOff>129540</xdr:rowOff>
    </xdr:to>
    <xdr:sp macro="" textlink="">
      <xdr:nvSpPr>
        <xdr:cNvPr id="7" name="Rectangle 6">
          <a:extLst>
            <a:ext uri="{FF2B5EF4-FFF2-40B4-BE49-F238E27FC236}">
              <a16:creationId xmlns:a16="http://schemas.microsoft.com/office/drawing/2014/main" id="{979B7E16-EEDC-40B9-BBD0-12003DEA69AF}"/>
            </a:ext>
          </a:extLst>
        </xdr:cNvPr>
        <xdr:cNvSpPr/>
      </xdr:nvSpPr>
      <xdr:spPr>
        <a:xfrm>
          <a:off x="3192780" y="45720"/>
          <a:ext cx="10652760" cy="43434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latin typeface="Segoe UI" panose="020B0502040204020203" pitchFamily="34" charset="0"/>
              <a:cs typeface="Segoe UI" panose="020B0502040204020203" pitchFamily="34" charset="0"/>
            </a:rPr>
            <a:t>HR</a:t>
          </a:r>
          <a:r>
            <a:rPr lang="en-US" sz="2800" b="1" baseline="0">
              <a:latin typeface="Segoe UI" panose="020B0502040204020203" pitchFamily="34" charset="0"/>
              <a:cs typeface="Segoe UI" panose="020B0502040204020203" pitchFamily="34" charset="0"/>
            </a:rPr>
            <a:t> ANALYTICS DASHBOARD</a:t>
          </a:r>
          <a:endParaRPr lang="en-US" sz="2800" b="1">
            <a:latin typeface="Segoe UI" panose="020B0502040204020203" pitchFamily="34" charset="0"/>
            <a:cs typeface="Segoe UI" panose="020B0502040204020203" pitchFamily="34" charset="0"/>
          </a:endParaRPr>
        </a:p>
      </xdr:txBody>
    </xdr:sp>
    <xdr:clientData/>
  </xdr:twoCellAnchor>
  <xdr:twoCellAnchor>
    <xdr:from>
      <xdr:col>5</xdr:col>
      <xdr:colOff>266700</xdr:colOff>
      <xdr:row>4</xdr:row>
      <xdr:rowOff>15240</xdr:rowOff>
    </xdr:from>
    <xdr:to>
      <xdr:col>9</xdr:col>
      <xdr:colOff>251460</xdr:colOff>
      <xdr:row>9</xdr:row>
      <xdr:rowOff>0</xdr:rowOff>
    </xdr:to>
    <xdr:sp macro="" textlink="">
      <xdr:nvSpPr>
        <xdr:cNvPr id="8" name="Rectangle: Diagonal Corners Rounded 7">
          <a:extLst>
            <a:ext uri="{FF2B5EF4-FFF2-40B4-BE49-F238E27FC236}">
              <a16:creationId xmlns:a16="http://schemas.microsoft.com/office/drawing/2014/main" id="{19C81661-C1DB-4E44-827B-A6341036C0AB}"/>
            </a:ext>
          </a:extLst>
        </xdr:cNvPr>
        <xdr:cNvSpPr/>
      </xdr:nvSpPr>
      <xdr:spPr>
        <a:xfrm flipH="1">
          <a:off x="3390900" y="716280"/>
          <a:ext cx="2484120" cy="86106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449580</xdr:colOff>
      <xdr:row>4</xdr:row>
      <xdr:rowOff>15240</xdr:rowOff>
    </xdr:from>
    <xdr:to>
      <xdr:col>13</xdr:col>
      <xdr:colOff>434340</xdr:colOff>
      <xdr:row>9</xdr:row>
      <xdr:rowOff>0</xdr:rowOff>
    </xdr:to>
    <xdr:sp macro="" textlink="">
      <xdr:nvSpPr>
        <xdr:cNvPr id="10" name="Rectangle: Diagonal Corners Rounded 9">
          <a:extLst>
            <a:ext uri="{FF2B5EF4-FFF2-40B4-BE49-F238E27FC236}">
              <a16:creationId xmlns:a16="http://schemas.microsoft.com/office/drawing/2014/main" id="{ED2BDF90-8599-4B5A-BE4F-AF664755F242}"/>
            </a:ext>
          </a:extLst>
        </xdr:cNvPr>
        <xdr:cNvSpPr/>
      </xdr:nvSpPr>
      <xdr:spPr>
        <a:xfrm flipH="1">
          <a:off x="6073140" y="716280"/>
          <a:ext cx="2484120" cy="86106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609600</xdr:colOff>
      <xdr:row>4</xdr:row>
      <xdr:rowOff>15240</xdr:rowOff>
    </xdr:from>
    <xdr:to>
      <xdr:col>17</xdr:col>
      <xdr:colOff>594360</xdr:colOff>
      <xdr:row>9</xdr:row>
      <xdr:rowOff>0</xdr:rowOff>
    </xdr:to>
    <xdr:sp macro="" textlink="">
      <xdr:nvSpPr>
        <xdr:cNvPr id="11" name="Rectangle: Diagonal Corners Rounded 10">
          <a:extLst>
            <a:ext uri="{FF2B5EF4-FFF2-40B4-BE49-F238E27FC236}">
              <a16:creationId xmlns:a16="http://schemas.microsoft.com/office/drawing/2014/main" id="{D9AFE0F8-ABF9-40A8-9A24-E1DC41D1C365}"/>
            </a:ext>
          </a:extLst>
        </xdr:cNvPr>
        <xdr:cNvSpPr/>
      </xdr:nvSpPr>
      <xdr:spPr>
        <a:xfrm flipH="1">
          <a:off x="8732520" y="716280"/>
          <a:ext cx="2484120" cy="86106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121920</xdr:colOff>
      <xdr:row>4</xdr:row>
      <xdr:rowOff>15240</xdr:rowOff>
    </xdr:from>
    <xdr:to>
      <xdr:col>22</xdr:col>
      <xdr:colOff>106680</xdr:colOff>
      <xdr:row>9</xdr:row>
      <xdr:rowOff>0</xdr:rowOff>
    </xdr:to>
    <xdr:sp macro="" textlink="">
      <xdr:nvSpPr>
        <xdr:cNvPr id="12" name="Rectangle: Diagonal Corners Rounded 11">
          <a:extLst>
            <a:ext uri="{FF2B5EF4-FFF2-40B4-BE49-F238E27FC236}">
              <a16:creationId xmlns:a16="http://schemas.microsoft.com/office/drawing/2014/main" id="{E9B7A67C-7347-40E0-8E3A-319EA0DF3518}"/>
            </a:ext>
          </a:extLst>
        </xdr:cNvPr>
        <xdr:cNvSpPr/>
      </xdr:nvSpPr>
      <xdr:spPr>
        <a:xfrm flipH="1">
          <a:off x="11369040" y="716280"/>
          <a:ext cx="2484120" cy="861060"/>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220980</xdr:colOff>
      <xdr:row>9</xdr:row>
      <xdr:rowOff>129540</xdr:rowOff>
    </xdr:from>
    <xdr:to>
      <xdr:col>10</xdr:col>
      <xdr:colOff>396240</xdr:colOff>
      <xdr:row>11</xdr:row>
      <xdr:rowOff>68580</xdr:rowOff>
    </xdr:to>
    <xdr:sp macro="" textlink="">
      <xdr:nvSpPr>
        <xdr:cNvPr id="17" name="Rectangle 16">
          <a:extLst>
            <a:ext uri="{FF2B5EF4-FFF2-40B4-BE49-F238E27FC236}">
              <a16:creationId xmlns:a16="http://schemas.microsoft.com/office/drawing/2014/main" id="{F6E672D3-BE7A-4EFA-879E-B8320912CAEE}"/>
            </a:ext>
          </a:extLst>
        </xdr:cNvPr>
        <xdr:cNvSpPr/>
      </xdr:nvSpPr>
      <xdr:spPr>
        <a:xfrm>
          <a:off x="3345180" y="1706880"/>
          <a:ext cx="3299460" cy="28956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ysClr val="windowText" lastClr="000000"/>
              </a:solidFill>
              <a:latin typeface="Segoe UI" panose="020B0502040204020203" pitchFamily="34" charset="0"/>
              <a:cs typeface="Segoe UI" panose="020B0502040204020203" pitchFamily="34" charset="0"/>
            </a:rPr>
            <a:t>Overall </a:t>
          </a:r>
          <a:r>
            <a:rPr lang="en-US" sz="1200" b="1">
              <a:solidFill>
                <a:sysClr val="windowText" lastClr="000000"/>
              </a:solidFill>
              <a:effectLst/>
              <a:latin typeface="Segoe UI" panose="020B0502040204020203" pitchFamily="34" charset="0"/>
              <a:ea typeface="+mn-ea"/>
              <a:cs typeface="Segoe UI" panose="020B0502040204020203" pitchFamily="34" charset="0"/>
            </a:rPr>
            <a:t>Job </a:t>
          </a:r>
          <a:r>
            <a:rPr lang="en-US" sz="1400" b="1">
              <a:solidFill>
                <a:sysClr val="windowText" lastClr="000000"/>
              </a:solidFill>
              <a:effectLst/>
              <a:latin typeface="Segoe UI" panose="020B0502040204020203" pitchFamily="34" charset="0"/>
              <a:ea typeface="+mn-ea"/>
              <a:cs typeface="Segoe UI" panose="020B0502040204020203" pitchFamily="34" charset="0"/>
            </a:rPr>
            <a:t>Satisfacation</a:t>
          </a:r>
          <a:r>
            <a:rPr lang="en-US" sz="1200" b="1" baseline="0">
              <a:solidFill>
                <a:sysClr val="windowText" lastClr="000000"/>
              </a:solidFill>
              <a:effectLst/>
              <a:latin typeface="Segoe UI" panose="020B0502040204020203" pitchFamily="34" charset="0"/>
              <a:ea typeface="+mn-ea"/>
              <a:cs typeface="Segoe UI" panose="020B0502040204020203" pitchFamily="34" charset="0"/>
            </a:rPr>
            <a:t> %</a:t>
          </a:r>
          <a:r>
            <a:rPr lang="en-US" sz="1200" b="1">
              <a:solidFill>
                <a:sysClr val="windowText" lastClr="000000"/>
              </a:solidFill>
              <a:latin typeface="Segoe UI" panose="020B0502040204020203" pitchFamily="34" charset="0"/>
              <a:cs typeface="Segoe UI" panose="020B0502040204020203" pitchFamily="34" charset="0"/>
            </a:rPr>
            <a:t> </a:t>
          </a:r>
        </a:p>
      </xdr:txBody>
    </xdr:sp>
    <xdr:clientData/>
  </xdr:twoCellAnchor>
  <xdr:twoCellAnchor>
    <xdr:from>
      <xdr:col>10</xdr:col>
      <xdr:colOff>464820</xdr:colOff>
      <xdr:row>9</xdr:row>
      <xdr:rowOff>129540</xdr:rowOff>
    </xdr:from>
    <xdr:to>
      <xdr:col>17</xdr:col>
      <xdr:colOff>358140</xdr:colOff>
      <xdr:row>11</xdr:row>
      <xdr:rowOff>68580</xdr:rowOff>
    </xdr:to>
    <xdr:sp macro="" textlink="">
      <xdr:nvSpPr>
        <xdr:cNvPr id="21" name="Rectangle 20">
          <a:extLst>
            <a:ext uri="{FF2B5EF4-FFF2-40B4-BE49-F238E27FC236}">
              <a16:creationId xmlns:a16="http://schemas.microsoft.com/office/drawing/2014/main" id="{66BE78B8-42EB-401F-B9C2-8E5A155E1E07}"/>
            </a:ext>
          </a:extLst>
        </xdr:cNvPr>
        <xdr:cNvSpPr/>
      </xdr:nvSpPr>
      <xdr:spPr>
        <a:xfrm>
          <a:off x="6713220" y="1706880"/>
          <a:ext cx="4267200" cy="28956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solidFill>
                <a:sysClr val="windowText" lastClr="000000"/>
              </a:solidFill>
              <a:latin typeface="Segoe UI" panose="020B0502040204020203" pitchFamily="34" charset="0"/>
              <a:cs typeface="Segoe UI" panose="020B0502040204020203" pitchFamily="34" charset="0"/>
            </a:rPr>
            <a:t>Employees Per Month</a:t>
          </a:r>
        </a:p>
      </xdr:txBody>
    </xdr:sp>
    <xdr:clientData/>
  </xdr:twoCellAnchor>
  <xdr:twoCellAnchor>
    <xdr:from>
      <xdr:col>17</xdr:col>
      <xdr:colOff>449580</xdr:colOff>
      <xdr:row>9</xdr:row>
      <xdr:rowOff>129540</xdr:rowOff>
    </xdr:from>
    <xdr:to>
      <xdr:col>22</xdr:col>
      <xdr:colOff>91440</xdr:colOff>
      <xdr:row>11</xdr:row>
      <xdr:rowOff>68580</xdr:rowOff>
    </xdr:to>
    <xdr:sp macro="" textlink="">
      <xdr:nvSpPr>
        <xdr:cNvPr id="22" name="Rectangle 21">
          <a:extLst>
            <a:ext uri="{FF2B5EF4-FFF2-40B4-BE49-F238E27FC236}">
              <a16:creationId xmlns:a16="http://schemas.microsoft.com/office/drawing/2014/main" id="{03BE088C-1E79-4B6F-8E32-860CF7F7BC45}"/>
            </a:ext>
          </a:extLst>
        </xdr:cNvPr>
        <xdr:cNvSpPr/>
      </xdr:nvSpPr>
      <xdr:spPr>
        <a:xfrm>
          <a:off x="11071860" y="1706880"/>
          <a:ext cx="2766060" cy="28956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solidFill>
                <a:sysClr val="windowText" lastClr="000000"/>
              </a:solidFill>
              <a:latin typeface="Segoe UI" panose="020B0502040204020203" pitchFamily="34" charset="0"/>
              <a:cs typeface="Segoe UI" panose="020B0502040204020203" pitchFamily="34" charset="0"/>
            </a:rPr>
            <a:t>Employees Job Title</a:t>
          </a:r>
        </a:p>
      </xdr:txBody>
    </xdr:sp>
    <xdr:clientData/>
  </xdr:twoCellAnchor>
  <xdr:twoCellAnchor>
    <xdr:from>
      <xdr:col>5</xdr:col>
      <xdr:colOff>220980</xdr:colOff>
      <xdr:row>11</xdr:row>
      <xdr:rowOff>144780</xdr:rowOff>
    </xdr:from>
    <xdr:to>
      <xdr:col>10</xdr:col>
      <xdr:colOff>396240</xdr:colOff>
      <xdr:row>31</xdr:row>
      <xdr:rowOff>137160</xdr:rowOff>
    </xdr:to>
    <xdr:sp macro="" textlink="">
      <xdr:nvSpPr>
        <xdr:cNvPr id="23" name="Rectangle 22">
          <a:extLst>
            <a:ext uri="{FF2B5EF4-FFF2-40B4-BE49-F238E27FC236}">
              <a16:creationId xmlns:a16="http://schemas.microsoft.com/office/drawing/2014/main" id="{F4BE218D-893A-4F99-A97E-15CE38180909}"/>
            </a:ext>
          </a:extLst>
        </xdr:cNvPr>
        <xdr:cNvSpPr/>
      </xdr:nvSpPr>
      <xdr:spPr>
        <a:xfrm>
          <a:off x="3345180" y="2072640"/>
          <a:ext cx="3299460" cy="34975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464820</xdr:colOff>
      <xdr:row>11</xdr:row>
      <xdr:rowOff>144780</xdr:rowOff>
    </xdr:from>
    <xdr:to>
      <xdr:col>17</xdr:col>
      <xdr:colOff>358140</xdr:colOff>
      <xdr:row>20</xdr:row>
      <xdr:rowOff>167640</xdr:rowOff>
    </xdr:to>
    <xdr:sp macro="" textlink="">
      <xdr:nvSpPr>
        <xdr:cNvPr id="24" name="Rectangle 23">
          <a:extLst>
            <a:ext uri="{FF2B5EF4-FFF2-40B4-BE49-F238E27FC236}">
              <a16:creationId xmlns:a16="http://schemas.microsoft.com/office/drawing/2014/main" id="{86B87970-C041-4CA2-9AFB-EA4377B9667D}"/>
            </a:ext>
          </a:extLst>
        </xdr:cNvPr>
        <xdr:cNvSpPr/>
      </xdr:nvSpPr>
      <xdr:spPr>
        <a:xfrm>
          <a:off x="6713220" y="2072640"/>
          <a:ext cx="4267200"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464820</xdr:colOff>
      <xdr:row>23</xdr:row>
      <xdr:rowOff>53340</xdr:rowOff>
    </xdr:from>
    <xdr:to>
      <xdr:col>22</xdr:col>
      <xdr:colOff>91440</xdr:colOff>
      <xdr:row>31</xdr:row>
      <xdr:rowOff>121920</xdr:rowOff>
    </xdr:to>
    <xdr:sp macro="" textlink="">
      <xdr:nvSpPr>
        <xdr:cNvPr id="25" name="Rectangle 24">
          <a:extLst>
            <a:ext uri="{FF2B5EF4-FFF2-40B4-BE49-F238E27FC236}">
              <a16:creationId xmlns:a16="http://schemas.microsoft.com/office/drawing/2014/main" id="{0774347F-A926-4168-930D-8B6639A7F379}"/>
            </a:ext>
          </a:extLst>
        </xdr:cNvPr>
        <xdr:cNvSpPr/>
      </xdr:nvSpPr>
      <xdr:spPr>
        <a:xfrm>
          <a:off x="6713220" y="4084320"/>
          <a:ext cx="7124700" cy="14706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464820</xdr:colOff>
      <xdr:row>21</xdr:row>
      <xdr:rowOff>53340</xdr:rowOff>
    </xdr:from>
    <xdr:to>
      <xdr:col>17</xdr:col>
      <xdr:colOff>381000</xdr:colOff>
      <xdr:row>22</xdr:row>
      <xdr:rowOff>165430</xdr:rowOff>
    </xdr:to>
    <xdr:sp macro="" textlink="">
      <xdr:nvSpPr>
        <xdr:cNvPr id="26" name="Rectangle 25">
          <a:extLst>
            <a:ext uri="{FF2B5EF4-FFF2-40B4-BE49-F238E27FC236}">
              <a16:creationId xmlns:a16="http://schemas.microsoft.com/office/drawing/2014/main" id="{281F0BC3-0C1B-4933-9353-0C241E3BDE9F}"/>
            </a:ext>
          </a:extLst>
        </xdr:cNvPr>
        <xdr:cNvSpPr/>
      </xdr:nvSpPr>
      <xdr:spPr>
        <a:xfrm>
          <a:off x="6713220" y="3733800"/>
          <a:ext cx="4290060" cy="2873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solidFill>
                <a:sysClr val="windowText" lastClr="000000"/>
              </a:solidFill>
              <a:latin typeface="Segoe UI" panose="020B0502040204020203" pitchFamily="34" charset="0"/>
              <a:cs typeface="Segoe UI" panose="020B0502040204020203" pitchFamily="34" charset="0"/>
            </a:rPr>
            <a:t>Employees Per Department </a:t>
          </a:r>
        </a:p>
      </xdr:txBody>
    </xdr:sp>
    <xdr:clientData/>
  </xdr:twoCellAnchor>
  <xdr:twoCellAnchor>
    <xdr:from>
      <xdr:col>17</xdr:col>
      <xdr:colOff>449580</xdr:colOff>
      <xdr:row>11</xdr:row>
      <xdr:rowOff>144780</xdr:rowOff>
    </xdr:from>
    <xdr:to>
      <xdr:col>22</xdr:col>
      <xdr:colOff>91440</xdr:colOff>
      <xdr:row>23</xdr:row>
      <xdr:rowOff>7620</xdr:rowOff>
    </xdr:to>
    <xdr:sp macro="" textlink="">
      <xdr:nvSpPr>
        <xdr:cNvPr id="27" name="Rectangle 26">
          <a:extLst>
            <a:ext uri="{FF2B5EF4-FFF2-40B4-BE49-F238E27FC236}">
              <a16:creationId xmlns:a16="http://schemas.microsoft.com/office/drawing/2014/main" id="{869F87EF-78D0-4526-AED8-1111C01E7665}"/>
            </a:ext>
          </a:extLst>
        </xdr:cNvPr>
        <xdr:cNvSpPr/>
      </xdr:nvSpPr>
      <xdr:spPr>
        <a:xfrm>
          <a:off x="11071860" y="2072640"/>
          <a:ext cx="2766060" cy="19659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266700</xdr:colOff>
      <xdr:row>3</xdr:row>
      <xdr:rowOff>160020</xdr:rowOff>
    </xdr:from>
    <xdr:to>
      <xdr:col>7</xdr:col>
      <xdr:colOff>419100</xdr:colOff>
      <xdr:row>5</xdr:row>
      <xdr:rowOff>76200</xdr:rowOff>
    </xdr:to>
    <xdr:sp macro="" textlink="">
      <xdr:nvSpPr>
        <xdr:cNvPr id="28" name="TextBox 27">
          <a:extLst>
            <a:ext uri="{FF2B5EF4-FFF2-40B4-BE49-F238E27FC236}">
              <a16:creationId xmlns:a16="http://schemas.microsoft.com/office/drawing/2014/main" id="{7FC037D6-C23E-5AB2-DBD4-FA8E79AA029A}"/>
            </a:ext>
          </a:extLst>
        </xdr:cNvPr>
        <xdr:cNvSpPr txBox="1"/>
      </xdr:nvSpPr>
      <xdr:spPr>
        <a:xfrm>
          <a:off x="3390900" y="685800"/>
          <a:ext cx="1402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Segoe UI" panose="020B0502040204020203" pitchFamily="34" charset="0"/>
              <a:cs typeface="Segoe UI" panose="020B0502040204020203" pitchFamily="34" charset="0"/>
            </a:rPr>
            <a:t>Total Employees</a:t>
          </a:r>
        </a:p>
      </xdr:txBody>
    </xdr:sp>
    <xdr:clientData/>
  </xdr:twoCellAnchor>
  <xdr:twoCellAnchor>
    <xdr:from>
      <xdr:col>9</xdr:col>
      <xdr:colOff>426720</xdr:colOff>
      <xdr:row>4</xdr:row>
      <xdr:rowOff>0</xdr:rowOff>
    </xdr:from>
    <xdr:to>
      <xdr:col>11</xdr:col>
      <xdr:colOff>579120</xdr:colOff>
      <xdr:row>5</xdr:row>
      <xdr:rowOff>91440</xdr:rowOff>
    </xdr:to>
    <xdr:sp macro="" textlink="">
      <xdr:nvSpPr>
        <xdr:cNvPr id="29" name="TextBox 28">
          <a:extLst>
            <a:ext uri="{FF2B5EF4-FFF2-40B4-BE49-F238E27FC236}">
              <a16:creationId xmlns:a16="http://schemas.microsoft.com/office/drawing/2014/main" id="{1AE991BA-16B2-4598-BB7E-636C74AA36B1}"/>
            </a:ext>
          </a:extLst>
        </xdr:cNvPr>
        <xdr:cNvSpPr txBox="1"/>
      </xdr:nvSpPr>
      <xdr:spPr>
        <a:xfrm>
          <a:off x="6050280" y="701040"/>
          <a:ext cx="1402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Segoe UI" panose="020B0502040204020203" pitchFamily="34" charset="0"/>
              <a:cs typeface="Segoe UI" panose="020B0502040204020203" pitchFamily="34" charset="0"/>
            </a:rPr>
            <a:t>Average</a:t>
          </a:r>
          <a:r>
            <a:rPr lang="en-US" sz="1200" b="1" baseline="0">
              <a:solidFill>
                <a:sysClr val="windowText" lastClr="000000"/>
              </a:solidFill>
              <a:latin typeface="Segoe UI" panose="020B0502040204020203" pitchFamily="34" charset="0"/>
              <a:cs typeface="Segoe UI" panose="020B0502040204020203" pitchFamily="34" charset="0"/>
            </a:rPr>
            <a:t> Salary</a:t>
          </a:r>
          <a:endParaRPr lang="en-US" sz="12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13</xdr:col>
      <xdr:colOff>609600</xdr:colOff>
      <xdr:row>4</xdr:row>
      <xdr:rowOff>15240</xdr:rowOff>
    </xdr:from>
    <xdr:to>
      <xdr:col>16</xdr:col>
      <xdr:colOff>137160</xdr:colOff>
      <xdr:row>5</xdr:row>
      <xdr:rowOff>106680</xdr:rowOff>
    </xdr:to>
    <xdr:sp macro="" textlink="">
      <xdr:nvSpPr>
        <xdr:cNvPr id="30" name="TextBox 29">
          <a:extLst>
            <a:ext uri="{FF2B5EF4-FFF2-40B4-BE49-F238E27FC236}">
              <a16:creationId xmlns:a16="http://schemas.microsoft.com/office/drawing/2014/main" id="{11D9ED7E-A5D0-46BC-AEA3-29D13BE456FF}"/>
            </a:ext>
          </a:extLst>
        </xdr:cNvPr>
        <xdr:cNvSpPr txBox="1"/>
      </xdr:nvSpPr>
      <xdr:spPr>
        <a:xfrm>
          <a:off x="8732520" y="716280"/>
          <a:ext cx="1402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Segoe UI" panose="020B0502040204020203" pitchFamily="34" charset="0"/>
              <a:cs typeface="Segoe UI" panose="020B0502040204020203" pitchFamily="34" charset="0"/>
            </a:rPr>
            <a:t>Average</a:t>
          </a:r>
          <a:r>
            <a:rPr lang="en-US" sz="1200" b="1" baseline="0">
              <a:solidFill>
                <a:sysClr val="windowText" lastClr="000000"/>
              </a:solidFill>
              <a:latin typeface="Segoe UI" panose="020B0502040204020203" pitchFamily="34" charset="0"/>
              <a:cs typeface="Segoe UI" panose="020B0502040204020203" pitchFamily="34" charset="0"/>
            </a:rPr>
            <a:t> Tenure</a:t>
          </a:r>
          <a:endParaRPr lang="en-US" sz="12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18</xdr:col>
      <xdr:colOff>144780</xdr:colOff>
      <xdr:row>4</xdr:row>
      <xdr:rowOff>38100</xdr:rowOff>
    </xdr:from>
    <xdr:to>
      <xdr:col>20</xdr:col>
      <xdr:colOff>495300</xdr:colOff>
      <xdr:row>5</xdr:row>
      <xdr:rowOff>129540</xdr:rowOff>
    </xdr:to>
    <xdr:sp macro="" textlink="">
      <xdr:nvSpPr>
        <xdr:cNvPr id="31" name="TextBox 30">
          <a:extLst>
            <a:ext uri="{FF2B5EF4-FFF2-40B4-BE49-F238E27FC236}">
              <a16:creationId xmlns:a16="http://schemas.microsoft.com/office/drawing/2014/main" id="{37AF903B-82B3-472F-BAB3-0780F4BF5345}"/>
            </a:ext>
          </a:extLst>
        </xdr:cNvPr>
        <xdr:cNvSpPr txBox="1"/>
      </xdr:nvSpPr>
      <xdr:spPr>
        <a:xfrm>
          <a:off x="11391900" y="739140"/>
          <a:ext cx="1600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Segoe UI" panose="020B0502040204020203" pitchFamily="34" charset="0"/>
              <a:cs typeface="Segoe UI" panose="020B0502040204020203" pitchFamily="34" charset="0"/>
            </a:rPr>
            <a:t>Job Satisfacation</a:t>
          </a:r>
          <a:r>
            <a:rPr lang="en-US" sz="1200" b="1" baseline="0">
              <a:solidFill>
                <a:sysClr val="windowText" lastClr="000000"/>
              </a:solidFill>
              <a:latin typeface="Segoe UI" panose="020B0502040204020203" pitchFamily="34" charset="0"/>
              <a:cs typeface="Segoe UI" panose="020B0502040204020203" pitchFamily="34" charset="0"/>
            </a:rPr>
            <a:t> %</a:t>
          </a:r>
          <a:endParaRPr lang="en-US" sz="12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6</xdr:col>
      <xdr:colOff>129540</xdr:colOff>
      <xdr:row>5</xdr:row>
      <xdr:rowOff>22860</xdr:rowOff>
    </xdr:from>
    <xdr:to>
      <xdr:col>8</xdr:col>
      <xdr:colOff>381000</xdr:colOff>
      <xdr:row>8</xdr:row>
      <xdr:rowOff>68580</xdr:rowOff>
    </xdr:to>
    <xdr:sp macro="" textlink="'Pivot tables'!E6">
      <xdr:nvSpPr>
        <xdr:cNvPr id="34" name="TextBox 33">
          <a:extLst>
            <a:ext uri="{FF2B5EF4-FFF2-40B4-BE49-F238E27FC236}">
              <a16:creationId xmlns:a16="http://schemas.microsoft.com/office/drawing/2014/main" id="{F60E22B9-81E9-5F43-86F2-B40A5B2C5FAC}"/>
            </a:ext>
          </a:extLst>
        </xdr:cNvPr>
        <xdr:cNvSpPr txBox="1"/>
      </xdr:nvSpPr>
      <xdr:spPr>
        <a:xfrm>
          <a:off x="3878580" y="899160"/>
          <a:ext cx="150114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5AB571-C052-41C0-9EC5-E63729710285}" type="TxLink">
            <a:rPr lang="en-US" sz="4000" b="0" i="0" u="none" strike="noStrike">
              <a:solidFill>
                <a:srgbClr val="000000"/>
              </a:solidFill>
              <a:latin typeface="Segoe UI" panose="020B0502040204020203" pitchFamily="34" charset="0"/>
              <a:cs typeface="Segoe UI" panose="020B0502040204020203" pitchFamily="34" charset="0"/>
            </a:rPr>
            <a:pPr algn="ctr"/>
            <a:t>369</a:t>
          </a:fld>
          <a:endParaRPr lang="en-US" sz="4000">
            <a:latin typeface="Segoe UI" panose="020B0502040204020203" pitchFamily="34" charset="0"/>
            <a:cs typeface="Segoe UI" panose="020B0502040204020203" pitchFamily="34" charset="0"/>
          </a:endParaRPr>
        </a:p>
      </xdr:txBody>
    </xdr:sp>
    <xdr:clientData/>
  </xdr:twoCellAnchor>
  <xdr:twoCellAnchor>
    <xdr:from>
      <xdr:col>10</xdr:col>
      <xdr:colOff>175260</xdr:colOff>
      <xdr:row>5</xdr:row>
      <xdr:rowOff>45720</xdr:rowOff>
    </xdr:from>
    <xdr:to>
      <xdr:col>12</xdr:col>
      <xdr:colOff>617220</xdr:colOff>
      <xdr:row>8</xdr:row>
      <xdr:rowOff>91440</xdr:rowOff>
    </xdr:to>
    <xdr:sp macro="" textlink="'Pivot tables'!E4">
      <xdr:nvSpPr>
        <xdr:cNvPr id="35" name="TextBox 34">
          <a:extLst>
            <a:ext uri="{FF2B5EF4-FFF2-40B4-BE49-F238E27FC236}">
              <a16:creationId xmlns:a16="http://schemas.microsoft.com/office/drawing/2014/main" id="{8327580C-3167-41E1-90F9-4F5E42880632}"/>
            </a:ext>
          </a:extLst>
        </xdr:cNvPr>
        <xdr:cNvSpPr txBox="1"/>
      </xdr:nvSpPr>
      <xdr:spPr>
        <a:xfrm>
          <a:off x="6423660" y="922020"/>
          <a:ext cx="169164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707420-A7E3-4FD3-8986-84A63CF4CACD}" type="TxLink">
            <a:rPr lang="en-US" sz="4000" b="0" i="0" u="none" strike="noStrike">
              <a:solidFill>
                <a:srgbClr val="000000"/>
              </a:solidFill>
              <a:latin typeface="Segoe UI" panose="020B0502040204020203" pitchFamily="34" charset="0"/>
              <a:cs typeface="Segoe UI" panose="020B0502040204020203" pitchFamily="34" charset="0"/>
            </a:rPr>
            <a:t>$4,948 </a:t>
          </a:fld>
          <a:endParaRPr lang="en-US" sz="4000">
            <a:latin typeface="Segoe UI" panose="020B0502040204020203" pitchFamily="34" charset="0"/>
            <a:cs typeface="Segoe UI" panose="020B0502040204020203" pitchFamily="34" charset="0"/>
          </a:endParaRPr>
        </a:p>
      </xdr:txBody>
    </xdr:sp>
    <xdr:clientData/>
  </xdr:twoCellAnchor>
  <xdr:twoCellAnchor>
    <xdr:from>
      <xdr:col>14</xdr:col>
      <xdr:colOff>396240</xdr:colOff>
      <xdr:row>5</xdr:row>
      <xdr:rowOff>45720</xdr:rowOff>
    </xdr:from>
    <xdr:to>
      <xdr:col>17</xdr:col>
      <xdr:colOff>22860</xdr:colOff>
      <xdr:row>8</xdr:row>
      <xdr:rowOff>91440</xdr:rowOff>
    </xdr:to>
    <xdr:sp macro="" textlink="'Pivot tables'!E5">
      <xdr:nvSpPr>
        <xdr:cNvPr id="36" name="TextBox 35">
          <a:extLst>
            <a:ext uri="{FF2B5EF4-FFF2-40B4-BE49-F238E27FC236}">
              <a16:creationId xmlns:a16="http://schemas.microsoft.com/office/drawing/2014/main" id="{ECF78911-F147-4EB6-9DD0-26BA0531ACA3}"/>
            </a:ext>
          </a:extLst>
        </xdr:cNvPr>
        <xdr:cNvSpPr txBox="1"/>
      </xdr:nvSpPr>
      <xdr:spPr>
        <a:xfrm>
          <a:off x="9144000" y="922020"/>
          <a:ext cx="150114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BC82A2-1D97-4FF1-ABFB-E215D6A14847}" type="TxLink">
            <a:rPr lang="en-US" sz="4000" b="0" i="0" u="none" strike="noStrike">
              <a:solidFill>
                <a:srgbClr val="000000"/>
              </a:solidFill>
              <a:latin typeface="Segoe UI" panose="020B0502040204020203" pitchFamily="34" charset="0"/>
              <a:cs typeface="Segoe UI" panose="020B0502040204020203" pitchFamily="34" charset="0"/>
            </a:rPr>
            <a:t>7.4</a:t>
          </a:fld>
          <a:endParaRPr lang="en-US" sz="4000">
            <a:latin typeface="Segoe UI" panose="020B0502040204020203" pitchFamily="34" charset="0"/>
            <a:cs typeface="Segoe UI" panose="020B0502040204020203" pitchFamily="34" charset="0"/>
          </a:endParaRPr>
        </a:p>
      </xdr:txBody>
    </xdr:sp>
    <xdr:clientData/>
  </xdr:twoCellAnchor>
  <xdr:twoCellAnchor>
    <xdr:from>
      <xdr:col>18</xdr:col>
      <xdr:colOff>487680</xdr:colOff>
      <xdr:row>5</xdr:row>
      <xdr:rowOff>68580</xdr:rowOff>
    </xdr:from>
    <xdr:to>
      <xdr:col>21</xdr:col>
      <xdr:colOff>304800</xdr:colOff>
      <xdr:row>8</xdr:row>
      <xdr:rowOff>114300</xdr:rowOff>
    </xdr:to>
    <xdr:sp macro="" textlink="'Pivot tables'!E9">
      <xdr:nvSpPr>
        <xdr:cNvPr id="37" name="TextBox 36">
          <a:extLst>
            <a:ext uri="{FF2B5EF4-FFF2-40B4-BE49-F238E27FC236}">
              <a16:creationId xmlns:a16="http://schemas.microsoft.com/office/drawing/2014/main" id="{DD134433-A9B1-4716-95E4-953EB011DE2F}"/>
            </a:ext>
          </a:extLst>
        </xdr:cNvPr>
        <xdr:cNvSpPr txBox="1"/>
      </xdr:nvSpPr>
      <xdr:spPr>
        <a:xfrm>
          <a:off x="11734800" y="944880"/>
          <a:ext cx="169164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04CC7D-330B-43C3-8A19-3C3E369C51A2}" type="TxLink">
            <a:rPr lang="en-US" sz="4000" b="0" i="0" u="none" strike="noStrike">
              <a:solidFill>
                <a:srgbClr val="000000"/>
              </a:solidFill>
              <a:latin typeface="Segoe UI" panose="020B0502040204020203" pitchFamily="34" charset="0"/>
              <a:cs typeface="Segoe UI" panose="020B0502040204020203" pitchFamily="34" charset="0"/>
            </a:rPr>
            <a:t>61%</a:t>
          </a:fld>
          <a:endParaRPr lang="en-US" sz="4000">
            <a:latin typeface="Segoe UI" panose="020B0502040204020203" pitchFamily="34" charset="0"/>
            <a:cs typeface="Segoe UI" panose="020B0502040204020203" pitchFamily="34" charset="0"/>
          </a:endParaRPr>
        </a:p>
      </xdr:txBody>
    </xdr:sp>
    <xdr:clientData/>
  </xdr:twoCellAnchor>
  <xdr:twoCellAnchor>
    <xdr:from>
      <xdr:col>5</xdr:col>
      <xdr:colOff>213360</xdr:colOff>
      <xdr:row>11</xdr:row>
      <xdr:rowOff>129540</xdr:rowOff>
    </xdr:from>
    <xdr:to>
      <xdr:col>10</xdr:col>
      <xdr:colOff>403860</xdr:colOff>
      <xdr:row>31</xdr:row>
      <xdr:rowOff>152400</xdr:rowOff>
    </xdr:to>
    <xdr:graphicFrame macro="">
      <xdr:nvGraphicFramePr>
        <xdr:cNvPr id="38" name="Chart 37">
          <a:extLst>
            <a:ext uri="{FF2B5EF4-FFF2-40B4-BE49-F238E27FC236}">
              <a16:creationId xmlns:a16="http://schemas.microsoft.com/office/drawing/2014/main" id="{B6DF5B73-802F-4219-B118-C8F81A9A8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457200</xdr:colOff>
      <xdr:row>11</xdr:row>
      <xdr:rowOff>137160</xdr:rowOff>
    </xdr:from>
    <xdr:to>
      <xdr:col>17</xdr:col>
      <xdr:colOff>373380</xdr:colOff>
      <xdr:row>21</xdr:row>
      <xdr:rowOff>7620</xdr:rowOff>
    </xdr:to>
    <xdr:graphicFrame macro="">
      <xdr:nvGraphicFramePr>
        <xdr:cNvPr id="39" name="Chart 38">
          <a:extLst>
            <a:ext uri="{FF2B5EF4-FFF2-40B4-BE49-F238E27FC236}">
              <a16:creationId xmlns:a16="http://schemas.microsoft.com/office/drawing/2014/main" id="{CC3862DF-1539-486A-B75B-73C913D5D0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441960</xdr:colOff>
      <xdr:row>11</xdr:row>
      <xdr:rowOff>137160</xdr:rowOff>
    </xdr:from>
    <xdr:to>
      <xdr:col>22</xdr:col>
      <xdr:colOff>99060</xdr:colOff>
      <xdr:row>23</xdr:row>
      <xdr:rowOff>22860</xdr:rowOff>
    </xdr:to>
    <mc:AlternateContent xmlns:mc="http://schemas.openxmlformats.org/markup-compatibility/2006">
      <mc:Choice xmlns:cx1="http://schemas.microsoft.com/office/drawing/2015/9/8/chartex" Requires="cx1">
        <xdr:graphicFrame macro="">
          <xdr:nvGraphicFramePr>
            <xdr:cNvPr id="40" name="Chart 39">
              <a:extLst>
                <a:ext uri="{FF2B5EF4-FFF2-40B4-BE49-F238E27FC236}">
                  <a16:creationId xmlns:a16="http://schemas.microsoft.com/office/drawing/2014/main" id="{303AB28E-1B45-4358-B59D-B8A99025F6F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064240" y="2065020"/>
              <a:ext cx="2781300" cy="19888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457200</xdr:colOff>
      <xdr:row>23</xdr:row>
      <xdr:rowOff>38100</xdr:rowOff>
    </xdr:from>
    <xdr:to>
      <xdr:col>22</xdr:col>
      <xdr:colOff>91440</xdr:colOff>
      <xdr:row>31</xdr:row>
      <xdr:rowOff>152400</xdr:rowOff>
    </xdr:to>
    <xdr:graphicFrame macro="">
      <xdr:nvGraphicFramePr>
        <xdr:cNvPr id="41" name="Chart 40">
          <a:extLst>
            <a:ext uri="{FF2B5EF4-FFF2-40B4-BE49-F238E27FC236}">
              <a16:creationId xmlns:a16="http://schemas.microsoft.com/office/drawing/2014/main" id="{4340E26E-5DBB-4375-9BCF-37CA19FC85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30480</xdr:colOff>
      <xdr:row>3</xdr:row>
      <xdr:rowOff>0</xdr:rowOff>
    </xdr:from>
    <xdr:to>
      <xdr:col>5</xdr:col>
      <xdr:colOff>45720</xdr:colOff>
      <xdr:row>8</xdr:row>
      <xdr:rowOff>7620</xdr:rowOff>
    </xdr:to>
    <mc:AlternateContent xmlns:mc="http://schemas.openxmlformats.org/markup-compatibility/2006">
      <mc:Choice xmlns:a14="http://schemas.microsoft.com/office/drawing/2010/main" Requires="a14">
        <xdr:graphicFrame macro="">
          <xdr:nvGraphicFramePr>
            <xdr:cNvPr id="46" name="Year">
              <a:extLst>
                <a:ext uri="{FF2B5EF4-FFF2-40B4-BE49-F238E27FC236}">
                  <a16:creationId xmlns:a16="http://schemas.microsoft.com/office/drawing/2014/main" id="{D6E3775B-E0DF-45D7-A1F4-0D91CE45DAA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30480" y="523875"/>
              <a:ext cx="3150553" cy="880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xdr:colOff>
      <xdr:row>8</xdr:row>
      <xdr:rowOff>30480</xdr:rowOff>
    </xdr:from>
    <xdr:to>
      <xdr:col>5</xdr:col>
      <xdr:colOff>53340</xdr:colOff>
      <xdr:row>23</xdr:row>
      <xdr:rowOff>38100</xdr:rowOff>
    </xdr:to>
    <mc:AlternateContent xmlns:mc="http://schemas.openxmlformats.org/markup-compatibility/2006">
      <mc:Choice xmlns:a14="http://schemas.microsoft.com/office/drawing/2010/main" Requires="a14">
        <xdr:graphicFrame macro="">
          <xdr:nvGraphicFramePr>
            <xdr:cNvPr id="47" name="Month">
              <a:extLst>
                <a:ext uri="{FF2B5EF4-FFF2-40B4-BE49-F238E27FC236}">
                  <a16:creationId xmlns:a16="http://schemas.microsoft.com/office/drawing/2014/main" id="{F68AA3BC-706D-4F85-9A4C-7C15A740BDD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30480" y="1427480"/>
              <a:ext cx="3158173" cy="2626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xdr:colOff>
      <xdr:row>23</xdr:row>
      <xdr:rowOff>99060</xdr:rowOff>
    </xdr:from>
    <xdr:to>
      <xdr:col>5</xdr:col>
      <xdr:colOff>53340</xdr:colOff>
      <xdr:row>32</xdr:row>
      <xdr:rowOff>7619</xdr:rowOff>
    </xdr:to>
    <mc:AlternateContent xmlns:mc="http://schemas.openxmlformats.org/markup-compatibility/2006">
      <mc:Choice xmlns:a14="http://schemas.microsoft.com/office/drawing/2010/main" Requires="a14">
        <xdr:graphicFrame macro="">
          <xdr:nvGraphicFramePr>
            <xdr:cNvPr id="48" name="Job Title">
              <a:extLst>
                <a:ext uri="{FF2B5EF4-FFF2-40B4-BE49-F238E27FC236}">
                  <a16:creationId xmlns:a16="http://schemas.microsoft.com/office/drawing/2014/main" id="{3263822D-6734-4435-A766-E8AB69F99B90}"/>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dr:sp macro="" textlink="">
          <xdr:nvSpPr>
            <xdr:cNvPr id="0" name=""/>
            <xdr:cNvSpPr>
              <a:spLocks noTextEdit="1"/>
            </xdr:cNvSpPr>
          </xdr:nvSpPr>
          <xdr:spPr>
            <a:xfrm>
              <a:off x="30480" y="4115435"/>
              <a:ext cx="3158173" cy="14801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213.810304166669" createdVersion="8" refreshedVersion="8" minRefreshableVersion="3" recordCount="32" xr:uid="{6748FC65-1DC8-4C0B-8D81-10A0B4B53163}">
  <cacheSource type="worksheet">
    <worksheetSource name="Table_1"/>
  </cacheSource>
  <cacheFields count="9">
    <cacheField name="Month" numFmtId="0">
      <sharedItems count="18">
        <s v="Apr-22"/>
        <s v="Apr-23"/>
        <s v="Aug-22"/>
        <s v="Aug-23"/>
        <s v="Dec-22"/>
        <s v="Feb-23"/>
        <s v="Jan-23"/>
        <s v="Jul-22"/>
        <s v="Jul-23"/>
        <s v="Jun-22"/>
        <s v="Jun-23"/>
        <s v="Mar-23"/>
        <s v="May-22"/>
        <s v="May-23"/>
        <s v="Nov-22"/>
        <s v="Oct-22"/>
        <s v="Sep-22"/>
        <s v="Sep-23"/>
      </sharedItems>
    </cacheField>
    <cacheField name="Year" numFmtId="0">
      <sharedItems containsSemiMixedTypes="0" containsString="0" containsNumber="1" containsInteger="1" minValue="2022" maxValue="2023" count="2">
        <n v="2022"/>
        <n v="2023"/>
      </sharedItems>
    </cacheField>
    <cacheField name="Department" numFmtId="0">
      <sharedItems count="32">
        <s v="Apple"/>
        <s v="Pinterest"/>
        <s v="Zoom"/>
        <s v="Tiktok"/>
        <s v="Microsoft"/>
        <s v="Amazon"/>
        <s v="Reddit"/>
        <s v="Tencent"/>
        <s v="LinkedIn"/>
        <s v="Meta"/>
        <s v="Cisco"/>
        <s v="Oracle"/>
        <s v="Samsung"/>
        <s v="Broadcom"/>
        <s v="SAP"/>
        <s v="Salesforce"/>
        <s v="Facebook"/>
        <s v="Adobe"/>
        <s v="Intuit"/>
        <s v="Alphabet"/>
        <s v="Instagram"/>
        <s v="Shopify"/>
        <s v="Synopsis"/>
        <s v="Snapchat"/>
        <s v="Globe"/>
        <s v="Jobstreet"/>
        <s v="Messenger"/>
        <s v="Youtube"/>
        <s v="Twitter"/>
        <s v="Threads"/>
        <s v="Whatsapp"/>
        <s v="Viber"/>
      </sharedItems>
    </cacheField>
    <cacheField name="Job Title" numFmtId="0">
      <sharedItems count="4">
        <s v="Analyst"/>
        <s v="Technical Support"/>
        <s v="Manager"/>
        <s v="Security"/>
      </sharedItems>
    </cacheField>
    <cacheField name="Total Employees" numFmtId="0">
      <sharedItems containsSemiMixedTypes="0" containsString="0" containsNumber="1" containsInteger="1" minValue="8" maxValue="15"/>
    </cacheField>
    <cacheField name="Salary" numFmtId="164">
      <sharedItems containsSemiMixedTypes="0" containsString="0" containsNumber="1" containsInteger="1" minValue="1009" maxValue="9553"/>
    </cacheField>
    <cacheField name="Tenure (Years)" numFmtId="1">
      <sharedItems containsSemiMixedTypes="0" containsString="0" containsNumber="1" containsInteger="1" minValue="0" maxValue="15"/>
    </cacheField>
    <cacheField name="Job Satisfaction %" numFmtId="9">
      <sharedItems containsSemiMixedTypes="0" containsString="0" containsNumber="1" minValue="1.635921983259303E-2" maxValue="0.99837239762561092"/>
    </cacheField>
    <cacheField name="Job Unsatisfaction %" numFmtId="9">
      <sharedItems containsSemiMixedTypes="0" containsString="0" containsNumber="1" minValue="1.6276023743890811E-3" maxValue="0.98364078016740697"/>
    </cacheField>
  </cacheFields>
  <extLst>
    <ext xmlns:x14="http://schemas.microsoft.com/office/spreadsheetml/2009/9/main" uri="{725AE2AE-9491-48be-B2B4-4EB974FC3084}">
      <x14:pivotCacheDefinition pivotCacheId="19900340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n v="10"/>
    <n v="4091"/>
    <n v="7"/>
    <n v="0.91924637245536589"/>
    <n v="8.075362754463411E-2"/>
  </r>
  <r>
    <x v="1"/>
    <x v="0"/>
    <x v="1"/>
    <x v="1"/>
    <n v="9"/>
    <n v="5426"/>
    <n v="10"/>
    <n v="0.68210643699842555"/>
    <n v="0.31789356300157445"/>
  </r>
  <r>
    <x v="2"/>
    <x v="0"/>
    <x v="2"/>
    <x v="2"/>
    <n v="11"/>
    <n v="3750"/>
    <n v="6"/>
    <n v="0.5114082047966152"/>
    <n v="0.4885917952033848"/>
  </r>
  <r>
    <x v="3"/>
    <x v="0"/>
    <x v="3"/>
    <x v="3"/>
    <n v="10"/>
    <n v="3303"/>
    <n v="9"/>
    <n v="0.86008647452233189"/>
    <n v="0.13991352547766811"/>
  </r>
  <r>
    <x v="3"/>
    <x v="1"/>
    <x v="4"/>
    <x v="0"/>
    <n v="11"/>
    <n v="1222"/>
    <n v="9"/>
    <n v="0.12605476052252018"/>
    <n v="0.87394523947747982"/>
  </r>
  <r>
    <x v="3"/>
    <x v="1"/>
    <x v="5"/>
    <x v="1"/>
    <n v="14"/>
    <n v="3042"/>
    <n v="6"/>
    <n v="0.99085145279074383"/>
    <n v="9.1485472092561748E-3"/>
  </r>
  <r>
    <x v="4"/>
    <x v="1"/>
    <x v="6"/>
    <x v="2"/>
    <n v="11"/>
    <n v="1042"/>
    <n v="15"/>
    <n v="0.83918061515936171"/>
    <n v="0.16081938484063829"/>
  </r>
  <r>
    <x v="4"/>
    <x v="0"/>
    <x v="7"/>
    <x v="3"/>
    <n v="13"/>
    <n v="1009"/>
    <n v="3"/>
    <n v="0.29862687501213836"/>
    <n v="0.70137312498786164"/>
  </r>
  <r>
    <x v="5"/>
    <x v="1"/>
    <x v="8"/>
    <x v="0"/>
    <n v="15"/>
    <n v="7723"/>
    <n v="14"/>
    <n v="0.44871253653672771"/>
    <n v="0.55128746346327229"/>
  </r>
  <r>
    <x v="5"/>
    <x v="1"/>
    <x v="9"/>
    <x v="1"/>
    <n v="8"/>
    <n v="3460"/>
    <n v="15"/>
    <n v="0.17855366956963581"/>
    <n v="0.82144633043036419"/>
  </r>
  <r>
    <x v="5"/>
    <x v="1"/>
    <x v="10"/>
    <x v="2"/>
    <n v="15"/>
    <n v="4714"/>
    <n v="7"/>
    <n v="0.98520015489683865"/>
    <n v="1.4799845103161346E-2"/>
  </r>
  <r>
    <x v="5"/>
    <x v="1"/>
    <x v="11"/>
    <x v="3"/>
    <n v="13"/>
    <n v="7687"/>
    <n v="6"/>
    <n v="0.77010764015236965"/>
    <n v="0.22989235984763035"/>
  </r>
  <r>
    <x v="6"/>
    <x v="0"/>
    <x v="12"/>
    <x v="0"/>
    <n v="8"/>
    <n v="4520"/>
    <n v="4"/>
    <n v="0.31793347097861624"/>
    <n v="0.68206652902138376"/>
  </r>
  <r>
    <x v="6"/>
    <x v="1"/>
    <x v="13"/>
    <x v="1"/>
    <n v="9"/>
    <n v="8910"/>
    <n v="15"/>
    <n v="0.34957557803316219"/>
    <n v="0.65042442196683781"/>
  </r>
  <r>
    <x v="6"/>
    <x v="1"/>
    <x v="14"/>
    <x v="2"/>
    <n v="12"/>
    <n v="8649"/>
    <n v="0"/>
    <n v="0.27925542272758075"/>
    <n v="0.72074457727241925"/>
  </r>
  <r>
    <x v="6"/>
    <x v="1"/>
    <x v="15"/>
    <x v="3"/>
    <n v="15"/>
    <n v="7272"/>
    <n v="14"/>
    <n v="0.3832071380905353"/>
    <n v="0.6167928619094647"/>
  </r>
  <r>
    <x v="7"/>
    <x v="0"/>
    <x v="16"/>
    <x v="0"/>
    <n v="9"/>
    <n v="2717"/>
    <n v="1"/>
    <n v="0.99396944437784751"/>
    <n v="6.0305556221524892E-3"/>
  </r>
  <r>
    <x v="7"/>
    <x v="0"/>
    <x v="17"/>
    <x v="1"/>
    <n v="15"/>
    <n v="4681"/>
    <n v="8"/>
    <n v="0.9428564178516774"/>
    <n v="5.7143582148322603E-2"/>
  </r>
  <r>
    <x v="7"/>
    <x v="0"/>
    <x v="18"/>
    <x v="2"/>
    <n v="12"/>
    <n v="3805"/>
    <n v="5"/>
    <n v="0.98572656202663855"/>
    <n v="1.4273437973361447E-2"/>
  </r>
  <r>
    <x v="8"/>
    <x v="0"/>
    <x v="19"/>
    <x v="3"/>
    <n v="15"/>
    <n v="1693"/>
    <n v="1"/>
    <n v="0.38209194885983655"/>
    <n v="0.61790805114016345"/>
  </r>
  <r>
    <x v="9"/>
    <x v="0"/>
    <x v="20"/>
    <x v="0"/>
    <n v="10"/>
    <n v="5438"/>
    <n v="7"/>
    <n v="0.70934212242637462"/>
    <n v="0.29065787757362538"/>
  </r>
  <r>
    <x v="9"/>
    <x v="0"/>
    <x v="21"/>
    <x v="1"/>
    <n v="13"/>
    <n v="6459"/>
    <n v="9"/>
    <n v="0.4915050387025599"/>
    <n v="0.5084949612974401"/>
  </r>
  <r>
    <x v="9"/>
    <x v="0"/>
    <x v="22"/>
    <x v="2"/>
    <n v="10"/>
    <n v="5611"/>
    <n v="12"/>
    <n v="0.62542907676630399"/>
    <n v="0.37457092323369601"/>
  </r>
  <r>
    <x v="10"/>
    <x v="0"/>
    <x v="23"/>
    <x v="3"/>
    <n v="9"/>
    <n v="9491"/>
    <n v="4"/>
    <n v="0.66097490226774958"/>
    <n v="0.33902509773225042"/>
  </r>
  <r>
    <x v="10"/>
    <x v="1"/>
    <x v="24"/>
    <x v="0"/>
    <n v="15"/>
    <n v="9553"/>
    <n v="12"/>
    <n v="0.82813028529210675"/>
    <n v="0.17186971470789325"/>
  </r>
  <r>
    <x v="11"/>
    <x v="0"/>
    <x v="25"/>
    <x v="1"/>
    <n v="15"/>
    <n v="5324"/>
    <n v="7"/>
    <n v="0.71850471541493011"/>
    <n v="0.28149528458506989"/>
  </r>
  <r>
    <x v="12"/>
    <x v="0"/>
    <x v="26"/>
    <x v="2"/>
    <n v="8"/>
    <n v="2784"/>
    <n v="7"/>
    <n v="1.635921983259303E-2"/>
    <n v="0.98364078016740697"/>
  </r>
  <r>
    <x v="13"/>
    <x v="0"/>
    <x v="27"/>
    <x v="3"/>
    <n v="10"/>
    <n v="2837"/>
    <n v="10"/>
    <n v="0.88142317758680422"/>
    <n v="0.11857682241319578"/>
  </r>
  <r>
    <x v="14"/>
    <x v="0"/>
    <x v="28"/>
    <x v="0"/>
    <n v="11"/>
    <n v="8762"/>
    <n v="3"/>
    <n v="0.63115247266814389"/>
    <n v="0.36884752733185611"/>
  </r>
  <r>
    <x v="15"/>
    <x v="0"/>
    <x v="29"/>
    <x v="1"/>
    <n v="10"/>
    <n v="6442"/>
    <n v="9"/>
    <n v="2.2248393063721839E-2"/>
    <n v="0.97775160693627816"/>
  </r>
  <r>
    <x v="16"/>
    <x v="0"/>
    <x v="30"/>
    <x v="2"/>
    <n v="14"/>
    <n v="2876"/>
    <n v="2"/>
    <n v="0.99837239762561092"/>
    <n v="1.6276023743890811E-3"/>
  </r>
  <r>
    <x v="17"/>
    <x v="0"/>
    <x v="31"/>
    <x v="3"/>
    <n v="9"/>
    <n v="4027"/>
    <n v="1"/>
    <n v="0.57282925637132831"/>
    <n v="0.427170743628671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9FF74A-DCCA-4666-B016-2BE9A71D0A85}" name="PivotTable6" cacheId="15"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H36"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axis="axisRow" showAll="0">
      <items count="33">
        <item x="17"/>
        <item x="19"/>
        <item x="5"/>
        <item x="0"/>
        <item x="13"/>
        <item x="10"/>
        <item x="16"/>
        <item x="24"/>
        <item x="20"/>
        <item x="18"/>
        <item x="25"/>
        <item x="8"/>
        <item x="26"/>
        <item x="9"/>
        <item x="4"/>
        <item x="11"/>
        <item x="1"/>
        <item x="6"/>
        <item x="15"/>
        <item x="12"/>
        <item x="14"/>
        <item x="21"/>
        <item x="23"/>
        <item x="22"/>
        <item x="7"/>
        <item x="29"/>
        <item x="3"/>
        <item x="28"/>
        <item x="31"/>
        <item x="30"/>
        <item x="27"/>
        <item x="2"/>
        <item t="default"/>
      </items>
    </pivotField>
    <pivotField showAll="0">
      <items count="5">
        <item x="0"/>
        <item x="2"/>
        <item x="3"/>
        <item x="1"/>
        <item t="default"/>
      </items>
    </pivotField>
    <pivotField dataField="1" showAll="0"/>
    <pivotField numFmtId="164" showAll="0"/>
    <pivotField numFmtId="1" showAll="0"/>
    <pivotField numFmtId="9" showAll="0"/>
    <pivotField numFmtId="9" showAll="0"/>
  </pivotFields>
  <rowFields count="1">
    <field x="2"/>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Sum of Total Employees" fld="4" baseField="0" baseItem="0"/>
  </dataFields>
  <formats count="12">
    <format dxfId="1503">
      <pivotArea field="-2" type="button" dataOnly="0" labelOnly="1" outline="0" axis="axisValues" fieldPosition="0"/>
    </format>
    <format dxfId="1504">
      <pivotArea dataOnly="0" labelOnly="1" grandCol="1" outline="0" axis="axisCol" fieldPosition="0"/>
    </format>
    <format dxfId="1505">
      <pivotArea outline="0" collapsedLevelsAreSubtotals="1" fieldPosition="0"/>
    </format>
    <format dxfId="1506">
      <pivotArea outline="0" collapsedLevelsAreSubtotals="1" fieldPosition="0"/>
    </format>
    <format dxfId="1507">
      <pivotArea outline="0" collapsedLevelsAreSubtotals="1" fieldPosition="0"/>
    </format>
    <format dxfId="1508">
      <pivotArea field="0" type="button" dataOnly="0" labelOnly="1" outline="0"/>
    </format>
    <format dxfId="1509">
      <pivotArea grandRow="1" outline="0" collapsedLevelsAreSubtotals="1" fieldPosition="0"/>
    </format>
    <format dxfId="1510">
      <pivotArea dataOnly="0" labelOnly="1" grandRow="1" outline="0" fieldPosition="0"/>
    </format>
    <format dxfId="1502">
      <pivotArea field="2" type="button" dataOnly="0" labelOnly="1" outline="0" axis="axisRow" fieldPosition="0"/>
    </format>
    <format dxfId="1501">
      <pivotArea dataOnly="0" labelOnly="1" outline="0" axis="axisValues" fieldPosition="0"/>
    </format>
    <format dxfId="1500">
      <pivotArea collapsedLevelsAreSubtotals="1" fieldPosition="0">
        <references count="1">
          <reference field="2" count="0"/>
        </references>
      </pivotArea>
    </format>
    <format dxfId="1499">
      <pivotArea dataOnly="0" labelOnly="1" fieldPosition="0">
        <references count="1">
          <reference field="2" count="0"/>
        </references>
      </pivotArea>
    </format>
  </formats>
  <chartFormats count="1">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97F50B6-192A-4E6F-BC87-80C50C340CFB}" name="PivotTable5" cacheId="15"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17"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axis="axisRow" showAll="0">
      <items count="5">
        <item x="0"/>
        <item x="2"/>
        <item x="3"/>
        <item x="1"/>
        <item t="default"/>
      </items>
    </pivotField>
    <pivotField dataField="1" showAll="0"/>
    <pivotField numFmtId="164" showAll="0"/>
    <pivotField numFmtId="1" showAll="0"/>
    <pivotField numFmtId="9" showAll="0"/>
    <pivotField numFmtId="9" showAll="0"/>
  </pivotFields>
  <rowFields count="1">
    <field x="3"/>
  </rowFields>
  <rowItems count="5">
    <i>
      <x/>
    </i>
    <i>
      <x v="1"/>
    </i>
    <i>
      <x v="2"/>
    </i>
    <i>
      <x v="3"/>
    </i>
    <i t="grand">
      <x/>
    </i>
  </rowItems>
  <colItems count="1">
    <i/>
  </colItems>
  <dataFields count="1">
    <dataField name="Sum of Total Employees" fld="4" baseField="0" baseItem="0"/>
  </dataFields>
  <formats count="12">
    <format dxfId="1515">
      <pivotArea field="-2" type="button" dataOnly="0" labelOnly="1" outline="0" axis="axisValues" fieldPosition="0"/>
    </format>
    <format dxfId="1516">
      <pivotArea dataOnly="0" labelOnly="1" grandCol="1" outline="0" axis="axisCol" fieldPosition="0"/>
    </format>
    <format dxfId="1517">
      <pivotArea outline="0" collapsedLevelsAreSubtotals="1" fieldPosition="0"/>
    </format>
    <format dxfId="1518">
      <pivotArea outline="0" collapsedLevelsAreSubtotals="1" fieldPosition="0"/>
    </format>
    <format dxfId="1519">
      <pivotArea outline="0" collapsedLevelsAreSubtotals="1" fieldPosition="0"/>
    </format>
    <format dxfId="1520">
      <pivotArea field="0" type="button" dataOnly="0" labelOnly="1" outline="0"/>
    </format>
    <format dxfId="1521">
      <pivotArea grandRow="1" outline="0" collapsedLevelsAreSubtotals="1" fieldPosition="0"/>
    </format>
    <format dxfId="1522">
      <pivotArea dataOnly="0" labelOnly="1" grandRow="1" outline="0" fieldPosition="0"/>
    </format>
    <format dxfId="1514">
      <pivotArea field="3" type="button" dataOnly="0" labelOnly="1" outline="0" axis="axisRow" fieldPosition="0"/>
    </format>
    <format dxfId="1513">
      <pivotArea dataOnly="0" labelOnly="1" outline="0" axis="axisValues" fieldPosition="0"/>
    </format>
    <format dxfId="1512">
      <pivotArea collapsedLevelsAreSubtotals="1" fieldPosition="0">
        <references count="1">
          <reference field="3" count="0"/>
        </references>
      </pivotArea>
    </format>
    <format dxfId="1511">
      <pivotArea dataOnly="0" labelOnly="1" fieldPosition="0">
        <references count="1">
          <reference field="3" count="0"/>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231921-BBC4-4FBA-8A87-54751223FA03}" name="PivotTable4" cacheId="15"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9:B38" firstHeaderRow="1" firstDataRow="1" firstDataCol="1"/>
  <pivotFields count="9">
    <pivotField axis="axisRow"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showAll="0">
      <items count="5">
        <item x="0"/>
        <item x="2"/>
        <item x="3"/>
        <item x="1"/>
        <item t="default"/>
      </items>
    </pivotField>
    <pivotField dataField="1" showAll="0"/>
    <pivotField numFmtId="164" showAll="0"/>
    <pivotField numFmtId="1" showAll="0"/>
    <pivotField numFmtId="9" showAll="0"/>
    <pivotField numFmtId="9" showAll="0"/>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Total Employees" fld="4" baseField="0" baseItem="0"/>
  </dataFields>
  <formats count="10">
    <format dxfId="1529">
      <pivotArea field="-2" type="button" dataOnly="0" labelOnly="1" outline="0" axis="axisValues" fieldPosition="0"/>
    </format>
    <format dxfId="1530">
      <pivotArea dataOnly="0" labelOnly="1" grandCol="1" outline="0" axis="axisCol" fieldPosition="0"/>
    </format>
    <format dxfId="1531">
      <pivotArea outline="0" collapsedLevelsAreSubtotals="1" fieldPosition="0"/>
    </format>
    <format dxfId="1532">
      <pivotArea outline="0" collapsedLevelsAreSubtotals="1" fieldPosition="0"/>
    </format>
    <format dxfId="1528">
      <pivotArea outline="0" collapsedLevelsAreSubtotals="1" fieldPosition="0"/>
    </format>
    <format dxfId="1527">
      <pivotArea field="0" type="button" dataOnly="0" labelOnly="1" outline="0" axis="axisRow" fieldPosition="0"/>
    </format>
    <format dxfId="1526">
      <pivotArea dataOnly="0" labelOnly="1" outline="0" axis="axisValues" fieldPosition="0"/>
    </format>
    <format dxfId="1525">
      <pivotArea dataOnly="0" fieldPosition="0">
        <references count="1">
          <reference field="0" count="0"/>
        </references>
      </pivotArea>
    </format>
    <format dxfId="1524">
      <pivotArea grandRow="1" outline="0" collapsedLevelsAreSubtotals="1" fieldPosition="0"/>
    </format>
    <format dxfId="1523">
      <pivotArea dataOnly="0" labelOnly="1" grandRow="1" outline="0" fieldPosition="0"/>
    </format>
  </formats>
  <chartFormats count="1">
    <chartFormat chart="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3A196D-53F4-457B-87CB-6A13788FB351}" name="PivotTable3" cacheId="15"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8:B10"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showAll="0">
      <items count="5">
        <item x="0"/>
        <item x="2"/>
        <item x="3"/>
        <item x="1"/>
        <item t="default"/>
      </items>
    </pivotField>
    <pivotField showAll="0"/>
    <pivotField numFmtId="164" showAll="0"/>
    <pivotField numFmtId="1" showAll="0"/>
    <pivotField dataField="1" numFmtId="9" showAll="0"/>
    <pivotField dataField="1" numFmtId="9" showAll="0"/>
  </pivotFields>
  <rowFields count="1">
    <field x="-2"/>
  </rowFields>
  <rowItems count="2">
    <i>
      <x/>
    </i>
    <i i="1">
      <x v="1"/>
    </i>
  </rowItems>
  <colItems count="1">
    <i/>
  </colItems>
  <dataFields count="2">
    <dataField name="Average of Job Satisfaction %" fld="7" subtotal="average" baseField="0" baseItem="0"/>
    <dataField name="Average of Job Unsatisfaction %" fld="8" subtotal="average" baseField="0" baseItem="0"/>
  </dataFields>
  <formats count="5">
    <format dxfId="1536">
      <pivotArea field="-2" type="button" dataOnly="0" labelOnly="1" outline="0" axis="axisRow" fieldPosition="0"/>
    </format>
    <format dxfId="1537">
      <pivotArea dataOnly="0" labelOnly="1" grandCol="1" outline="0" axis="axisCol" fieldPosition="0"/>
    </format>
    <format dxfId="1535">
      <pivotArea outline="0" collapsedLevelsAreSubtotals="1" fieldPosition="0"/>
    </format>
    <format dxfId="1534">
      <pivotArea outline="0" collapsedLevelsAreSubtotals="1" fieldPosition="0"/>
    </format>
    <format dxfId="1533">
      <pivotArea dataOnly="0" labelOnly="1" outline="0" fieldPosition="0">
        <references count="1">
          <reference field="4294967294" count="2">
            <x v="0"/>
            <x v="1"/>
          </reference>
        </references>
      </pivotArea>
    </format>
  </formats>
  <chartFormats count="3">
    <chartFormat chart="11" format="4" series="1">
      <pivotArea type="data" outline="0" fieldPosition="0">
        <references count="1">
          <reference field="4294967294" count="1" selected="0">
            <x v="0"/>
          </reference>
        </references>
      </pivotArea>
    </chartFormat>
    <chartFormat chart="11" format="5">
      <pivotArea type="data" outline="0" fieldPosition="0">
        <references count="1">
          <reference field="4294967294" count="1" selected="0">
            <x v="0"/>
          </reference>
        </references>
      </pivotArea>
    </chartFormat>
    <chartFormat chart="11" format="6">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92BF00C-29B4-42DC-801C-4CB4F946F2A2}" name="PivotTable2" cacheId="15"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x="1"/>
        <item t="default"/>
      </items>
    </pivotField>
    <pivotField showAll="0"/>
    <pivotField showAll="0">
      <items count="5">
        <item x="0"/>
        <item x="2"/>
        <item x="3"/>
        <item x="1"/>
        <item t="default"/>
      </items>
    </pivotField>
    <pivotField dataField="1" showAll="0"/>
    <pivotField dataField="1" numFmtId="164" showAll="0"/>
    <pivotField dataField="1" numFmtId="1" showAll="0"/>
    <pivotField numFmtId="9" showAll="0"/>
    <pivotField numFmtId="9" showAll="0"/>
  </pivotFields>
  <rowFields count="1">
    <field x="-2"/>
  </rowFields>
  <rowItems count="3">
    <i>
      <x/>
    </i>
    <i i="1">
      <x v="1"/>
    </i>
    <i i="2">
      <x v="2"/>
    </i>
  </rowItems>
  <colItems count="1">
    <i/>
  </colItems>
  <dataFields count="3">
    <dataField name="Average of Salary" fld="5" subtotal="average" baseField="0" baseItem="0"/>
    <dataField name="Average of Tenure (Years)" fld="6" subtotal="average" baseField="0" baseItem="0"/>
    <dataField name="Sum of Total Employees" fld="4" baseField="0" baseItem="0"/>
  </dataFields>
  <formats count="5">
    <format dxfId="1541">
      <pivotArea outline="0" collapsedLevelsAreSubtotals="1" fieldPosition="0"/>
    </format>
    <format dxfId="1540">
      <pivotArea field="-2" type="button" dataOnly="0" labelOnly="1" outline="0" axis="axisRow" fieldPosition="0"/>
    </format>
    <format dxfId="1539">
      <pivotArea dataOnly="0" labelOnly="1" grandCol="1" outline="0" axis="axisCol" fieldPosition="0"/>
    </format>
    <format dxfId="1538">
      <pivotArea dataOnly="0" outline="0" fieldPosition="0">
        <references count="1">
          <reference field="4294967294" count="3">
            <x v="0"/>
            <x v="1"/>
            <x v="2"/>
          </reference>
        </references>
      </pivotArea>
    </format>
    <format dxfId="1497">
      <pivotArea collapsedLevelsAreSubtotals="1" fieldPosition="0">
        <references count="1">
          <reference field="4294967294" count="1">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5470D48-791E-447C-910E-43036BCDE26D}" sourceName="Year">
  <pivotTables>
    <pivotTable tabId="6" name="PivotTable2"/>
    <pivotTable tabId="6" name="PivotTable3"/>
    <pivotTable tabId="6" name="PivotTable4"/>
    <pivotTable tabId="6" name="PivotTable5"/>
    <pivotTable tabId="6" name="PivotTable6"/>
  </pivotTables>
  <data>
    <tabular pivotCacheId="199003406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4FAAF37-73D6-40B3-9461-01477EB421D4}" sourceName="Month">
  <pivotTables>
    <pivotTable tabId="6" name="PivotTable2"/>
    <pivotTable tabId="6" name="PivotTable3"/>
    <pivotTable tabId="6" name="PivotTable4"/>
    <pivotTable tabId="6" name="PivotTable5"/>
    <pivotTable tabId="6" name="PivotTable6"/>
  </pivotTables>
  <data>
    <tabular pivotCacheId="1990034065">
      <items count="18">
        <i x="0" s="1"/>
        <i x="1" s="1"/>
        <i x="2" s="1"/>
        <i x="3" s="1"/>
        <i x="4" s="1"/>
        <i x="5" s="1"/>
        <i x="6" s="1"/>
        <i x="7" s="1"/>
        <i x="8" s="1"/>
        <i x="9" s="1"/>
        <i x="10" s="1"/>
        <i x="11" s="1"/>
        <i x="12" s="1"/>
        <i x="13" s="1"/>
        <i x="14" s="1"/>
        <i x="15" s="1"/>
        <i x="16" s="1"/>
        <i x="1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7CDEA9B4-98A0-4A05-A33F-A2513AB3CB07}" sourceName="Job Title">
  <pivotTables>
    <pivotTable tabId="6" name="PivotTable2"/>
    <pivotTable tabId="6" name="PivotTable3"/>
    <pivotTable tabId="6" name="PivotTable4"/>
    <pivotTable tabId="6" name="PivotTable5"/>
    <pivotTable tabId="6" name="PivotTable6"/>
  </pivotTables>
  <data>
    <tabular pivotCacheId="1990034065">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D6A29E0-1767-4E52-B541-A21ED439241E}" cache="Slicer_Year" caption="Year" style="SlicerStyleOther2" rowHeight="234950"/>
  <slicer name="Month" xr10:uid="{C996F388-AD72-47F1-ABB3-DDC6DAB21B55}" cache="Slicer_Month" caption="Month" startItem="2" columnCount="2" style="SlicerStyleOther2" rowHeight="234950"/>
  <slicer name="Job Title" xr10:uid="{D9320626-793E-4B8A-A35E-BA5BB0E861B8}" cache="Slicer_Job_Title" caption="Job Title"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I33">
  <tableColumns count="9">
    <tableColumn id="1" xr3:uid="{00000000-0010-0000-0000-000001000000}" name="Month"/>
    <tableColumn id="2" xr3:uid="{00000000-0010-0000-0000-000002000000}" name="Year"/>
    <tableColumn id="3" xr3:uid="{00000000-0010-0000-0000-000003000000}" name="Department"/>
    <tableColumn id="4" xr3:uid="{00000000-0010-0000-0000-000004000000}" name="Job Title"/>
    <tableColumn id="5" xr3:uid="{00000000-0010-0000-0000-000005000000}" name="Total Employees"/>
    <tableColumn id="6" xr3:uid="{00000000-0010-0000-0000-000006000000}" name="Salary"/>
    <tableColumn id="7" xr3:uid="{00000000-0010-0000-0000-000007000000}" name="Tenure (Years)"/>
    <tableColumn id="8" xr3:uid="{00000000-0010-0000-0000-000008000000}" name="Job Satisfaction %"/>
    <tableColumn id="9" xr3:uid="{00000000-0010-0000-0000-000009000000}" name="Job Unsatisfaction %"/>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000"/>
  <sheetViews>
    <sheetView workbookViewId="0">
      <pane ySplit="1" topLeftCell="A2" activePane="bottomLeft" state="frozen"/>
      <selection pane="bottomLeft" activeCell="H1" sqref="H1"/>
    </sheetView>
  </sheetViews>
  <sheetFormatPr defaultColWidth="14.44140625" defaultRowHeight="15" customHeight="1" x14ac:dyDescent="0.3"/>
  <cols>
    <col min="1" max="1" width="8.109375" customWidth="1"/>
    <col min="2" max="2" width="5.88671875" customWidth="1"/>
    <col min="3" max="3" width="13.6640625" customWidth="1"/>
    <col min="4" max="4" width="19.109375" customWidth="1"/>
    <col min="5" max="5" width="19" customWidth="1"/>
    <col min="6" max="6" width="7.88671875" customWidth="1"/>
    <col min="7" max="7" width="17" customWidth="1"/>
    <col min="8" max="8" width="20.5546875" customWidth="1"/>
    <col min="9" max="9" width="23.6640625" customWidth="1"/>
    <col min="10" max="26" width="8.6640625" customWidth="1"/>
  </cols>
  <sheetData>
    <row r="1" spans="1:9" ht="14.25" customHeight="1" x14ac:dyDescent="0.3">
      <c r="A1" s="1" t="s">
        <v>0</v>
      </c>
      <c r="B1" s="1" t="s">
        <v>1</v>
      </c>
      <c r="C1" s="1" t="s">
        <v>2</v>
      </c>
      <c r="D1" s="1" t="s">
        <v>3</v>
      </c>
      <c r="E1" s="1" t="s">
        <v>4</v>
      </c>
      <c r="F1" s="1" t="s">
        <v>5</v>
      </c>
      <c r="G1" s="2" t="s">
        <v>6</v>
      </c>
      <c r="H1" s="2" t="s">
        <v>7</v>
      </c>
      <c r="I1" s="2" t="s">
        <v>8</v>
      </c>
    </row>
    <row r="2" spans="1:9" ht="14.25" customHeight="1" x14ac:dyDescent="0.3">
      <c r="A2" s="3" t="s">
        <v>9</v>
      </c>
      <c r="B2" s="3">
        <v>2022</v>
      </c>
      <c r="C2" s="3" t="s">
        <v>10</v>
      </c>
      <c r="D2" s="3" t="s">
        <v>11</v>
      </c>
      <c r="E2" s="3">
        <v>10</v>
      </c>
      <c r="F2" s="4">
        <v>4091</v>
      </c>
      <c r="G2" s="5">
        <v>7</v>
      </c>
      <c r="H2" s="6">
        <v>0.91924637245536589</v>
      </c>
      <c r="I2" s="6">
        <v>8.075362754463411E-2</v>
      </c>
    </row>
    <row r="3" spans="1:9" ht="14.25" customHeight="1" x14ac:dyDescent="0.3">
      <c r="A3" s="3" t="s">
        <v>12</v>
      </c>
      <c r="B3" s="3">
        <v>2022</v>
      </c>
      <c r="C3" s="3" t="s">
        <v>13</v>
      </c>
      <c r="D3" s="3" t="s">
        <v>14</v>
      </c>
      <c r="E3" s="3">
        <v>9</v>
      </c>
      <c r="F3" s="4">
        <v>5426</v>
      </c>
      <c r="G3" s="5">
        <v>10</v>
      </c>
      <c r="H3" s="6">
        <v>0.68210643699842555</v>
      </c>
      <c r="I3" s="6">
        <v>0.31789356300157445</v>
      </c>
    </row>
    <row r="4" spans="1:9" ht="14.25" customHeight="1" x14ac:dyDescent="0.3">
      <c r="A4" s="3" t="s">
        <v>15</v>
      </c>
      <c r="B4" s="3">
        <v>2022</v>
      </c>
      <c r="C4" s="3" t="s">
        <v>16</v>
      </c>
      <c r="D4" s="3" t="s">
        <v>17</v>
      </c>
      <c r="E4" s="3">
        <v>11</v>
      </c>
      <c r="F4" s="4">
        <v>3750</v>
      </c>
      <c r="G4" s="5">
        <v>6</v>
      </c>
      <c r="H4" s="6">
        <v>0.5114082047966152</v>
      </c>
      <c r="I4" s="6">
        <v>0.4885917952033848</v>
      </c>
    </row>
    <row r="5" spans="1:9" ht="14.25" customHeight="1" x14ac:dyDescent="0.3">
      <c r="A5" s="3" t="s">
        <v>18</v>
      </c>
      <c r="B5" s="3">
        <v>2022</v>
      </c>
      <c r="C5" s="3" t="s">
        <v>19</v>
      </c>
      <c r="D5" s="3" t="s">
        <v>20</v>
      </c>
      <c r="E5" s="3">
        <v>10</v>
      </c>
      <c r="F5" s="4">
        <v>3303</v>
      </c>
      <c r="G5" s="5">
        <v>9</v>
      </c>
      <c r="H5" s="6">
        <v>0.86008647452233189</v>
      </c>
      <c r="I5" s="6">
        <v>0.13991352547766811</v>
      </c>
    </row>
    <row r="6" spans="1:9" ht="14.25" customHeight="1" x14ac:dyDescent="0.3">
      <c r="A6" s="3" t="s">
        <v>18</v>
      </c>
      <c r="B6" s="3">
        <v>2023</v>
      </c>
      <c r="C6" s="3" t="s">
        <v>21</v>
      </c>
      <c r="D6" s="3" t="s">
        <v>11</v>
      </c>
      <c r="E6" s="3">
        <v>11</v>
      </c>
      <c r="F6" s="4">
        <v>1222</v>
      </c>
      <c r="G6" s="5">
        <v>9</v>
      </c>
      <c r="H6" s="6">
        <v>0.12605476052252018</v>
      </c>
      <c r="I6" s="6">
        <v>0.87394523947747982</v>
      </c>
    </row>
    <row r="7" spans="1:9" ht="14.25" customHeight="1" x14ac:dyDescent="0.3">
      <c r="A7" s="3" t="s">
        <v>18</v>
      </c>
      <c r="B7" s="3">
        <v>2023</v>
      </c>
      <c r="C7" s="3" t="s">
        <v>22</v>
      </c>
      <c r="D7" s="3" t="s">
        <v>14</v>
      </c>
      <c r="E7" s="3">
        <v>14</v>
      </c>
      <c r="F7" s="4">
        <v>3042</v>
      </c>
      <c r="G7" s="5">
        <v>6</v>
      </c>
      <c r="H7" s="6">
        <v>0.99085145279074383</v>
      </c>
      <c r="I7" s="6">
        <v>9.1485472092561748E-3</v>
      </c>
    </row>
    <row r="8" spans="1:9" ht="14.25" customHeight="1" x14ac:dyDescent="0.3">
      <c r="A8" s="3" t="s">
        <v>23</v>
      </c>
      <c r="B8" s="3">
        <v>2023</v>
      </c>
      <c r="C8" s="3" t="s">
        <v>24</v>
      </c>
      <c r="D8" s="3" t="s">
        <v>17</v>
      </c>
      <c r="E8" s="3">
        <v>11</v>
      </c>
      <c r="F8" s="4">
        <v>1042</v>
      </c>
      <c r="G8" s="5">
        <v>15</v>
      </c>
      <c r="H8" s="6">
        <v>0.83918061515936171</v>
      </c>
      <c r="I8" s="6">
        <v>0.16081938484063829</v>
      </c>
    </row>
    <row r="9" spans="1:9" ht="14.25" customHeight="1" x14ac:dyDescent="0.3">
      <c r="A9" s="3" t="s">
        <v>23</v>
      </c>
      <c r="B9" s="3">
        <v>2022</v>
      </c>
      <c r="C9" s="3" t="s">
        <v>25</v>
      </c>
      <c r="D9" s="3" t="s">
        <v>20</v>
      </c>
      <c r="E9" s="3">
        <v>13</v>
      </c>
      <c r="F9" s="4">
        <v>1009</v>
      </c>
      <c r="G9" s="5">
        <v>3</v>
      </c>
      <c r="H9" s="6">
        <v>0.29862687501213836</v>
      </c>
      <c r="I9" s="6">
        <v>0.70137312498786164</v>
      </c>
    </row>
    <row r="10" spans="1:9" ht="14.25" customHeight="1" x14ac:dyDescent="0.3">
      <c r="A10" s="3" t="s">
        <v>26</v>
      </c>
      <c r="B10" s="3">
        <v>2023</v>
      </c>
      <c r="C10" s="3" t="s">
        <v>27</v>
      </c>
      <c r="D10" s="3" t="s">
        <v>11</v>
      </c>
      <c r="E10" s="3">
        <v>15</v>
      </c>
      <c r="F10" s="4">
        <v>7723</v>
      </c>
      <c r="G10" s="5">
        <v>14</v>
      </c>
      <c r="H10" s="6">
        <v>0.44871253653672771</v>
      </c>
      <c r="I10" s="6">
        <v>0.55128746346327229</v>
      </c>
    </row>
    <row r="11" spans="1:9" ht="14.25" customHeight="1" x14ac:dyDescent="0.3">
      <c r="A11" s="3" t="s">
        <v>26</v>
      </c>
      <c r="B11" s="3">
        <v>2023</v>
      </c>
      <c r="C11" s="3" t="s">
        <v>28</v>
      </c>
      <c r="D11" s="3" t="s">
        <v>14</v>
      </c>
      <c r="E11" s="3">
        <v>8</v>
      </c>
      <c r="F11" s="4">
        <v>3460</v>
      </c>
      <c r="G11" s="5">
        <v>15</v>
      </c>
      <c r="H11" s="6">
        <v>0.17855366956963581</v>
      </c>
      <c r="I11" s="6">
        <v>0.82144633043036419</v>
      </c>
    </row>
    <row r="12" spans="1:9" ht="14.25" customHeight="1" x14ac:dyDescent="0.3">
      <c r="A12" s="3" t="s">
        <v>26</v>
      </c>
      <c r="B12" s="3">
        <v>2023</v>
      </c>
      <c r="C12" s="3" t="s">
        <v>29</v>
      </c>
      <c r="D12" s="3" t="s">
        <v>17</v>
      </c>
      <c r="E12" s="3">
        <v>15</v>
      </c>
      <c r="F12" s="4">
        <v>4714</v>
      </c>
      <c r="G12" s="5">
        <v>7</v>
      </c>
      <c r="H12" s="6">
        <v>0.98520015489683865</v>
      </c>
      <c r="I12" s="6">
        <v>1.4799845103161346E-2</v>
      </c>
    </row>
    <row r="13" spans="1:9" ht="14.25" customHeight="1" x14ac:dyDescent="0.3">
      <c r="A13" s="3" t="s">
        <v>26</v>
      </c>
      <c r="B13" s="3">
        <v>2023</v>
      </c>
      <c r="C13" s="3" t="s">
        <v>30</v>
      </c>
      <c r="D13" s="3" t="s">
        <v>20</v>
      </c>
      <c r="E13" s="3">
        <v>13</v>
      </c>
      <c r="F13" s="4">
        <v>7687</v>
      </c>
      <c r="G13" s="5">
        <v>6</v>
      </c>
      <c r="H13" s="6">
        <v>0.77010764015236965</v>
      </c>
      <c r="I13" s="6">
        <v>0.22989235984763035</v>
      </c>
    </row>
    <row r="14" spans="1:9" ht="14.25" customHeight="1" x14ac:dyDescent="0.3">
      <c r="A14" s="3" t="s">
        <v>31</v>
      </c>
      <c r="B14" s="3">
        <v>2022</v>
      </c>
      <c r="C14" s="3" t="s">
        <v>32</v>
      </c>
      <c r="D14" s="3" t="s">
        <v>11</v>
      </c>
      <c r="E14" s="3">
        <v>8</v>
      </c>
      <c r="F14" s="4">
        <v>4520</v>
      </c>
      <c r="G14" s="5">
        <v>4</v>
      </c>
      <c r="H14" s="6">
        <v>0.31793347097861624</v>
      </c>
      <c r="I14" s="6">
        <v>0.68206652902138376</v>
      </c>
    </row>
    <row r="15" spans="1:9" ht="14.25" customHeight="1" x14ac:dyDescent="0.3">
      <c r="A15" s="3" t="s">
        <v>31</v>
      </c>
      <c r="B15" s="3">
        <v>2023</v>
      </c>
      <c r="C15" s="3" t="s">
        <v>33</v>
      </c>
      <c r="D15" s="3" t="s">
        <v>14</v>
      </c>
      <c r="E15" s="3">
        <v>9</v>
      </c>
      <c r="F15" s="4">
        <v>8910</v>
      </c>
      <c r="G15" s="5">
        <v>15</v>
      </c>
      <c r="H15" s="6">
        <v>0.34957557803316219</v>
      </c>
      <c r="I15" s="6">
        <v>0.65042442196683781</v>
      </c>
    </row>
    <row r="16" spans="1:9" ht="14.25" customHeight="1" x14ac:dyDescent="0.3">
      <c r="A16" s="3" t="s">
        <v>31</v>
      </c>
      <c r="B16" s="3">
        <v>2023</v>
      </c>
      <c r="C16" s="3" t="s">
        <v>34</v>
      </c>
      <c r="D16" s="3" t="s">
        <v>17</v>
      </c>
      <c r="E16" s="3">
        <v>12</v>
      </c>
      <c r="F16" s="4">
        <v>8649</v>
      </c>
      <c r="G16" s="5">
        <v>0</v>
      </c>
      <c r="H16" s="6">
        <v>0.27925542272758075</v>
      </c>
      <c r="I16" s="6">
        <v>0.72074457727241925</v>
      </c>
    </row>
    <row r="17" spans="1:9" ht="14.25" customHeight="1" x14ac:dyDescent="0.3">
      <c r="A17" s="3" t="s">
        <v>31</v>
      </c>
      <c r="B17" s="3">
        <v>2023</v>
      </c>
      <c r="C17" s="3" t="s">
        <v>35</v>
      </c>
      <c r="D17" s="3" t="s">
        <v>20</v>
      </c>
      <c r="E17" s="3">
        <v>15</v>
      </c>
      <c r="F17" s="4">
        <v>7272</v>
      </c>
      <c r="G17" s="5">
        <v>14</v>
      </c>
      <c r="H17" s="6">
        <v>0.3832071380905353</v>
      </c>
      <c r="I17" s="6">
        <v>0.6167928619094647</v>
      </c>
    </row>
    <row r="18" spans="1:9" ht="14.25" customHeight="1" x14ac:dyDescent="0.3">
      <c r="A18" s="3" t="s">
        <v>36</v>
      </c>
      <c r="B18" s="3">
        <v>2022</v>
      </c>
      <c r="C18" s="3" t="s">
        <v>37</v>
      </c>
      <c r="D18" s="3" t="s">
        <v>11</v>
      </c>
      <c r="E18" s="3">
        <v>9</v>
      </c>
      <c r="F18" s="4">
        <v>2717</v>
      </c>
      <c r="G18" s="5">
        <v>1</v>
      </c>
      <c r="H18" s="6">
        <v>0.99396944437784751</v>
      </c>
      <c r="I18" s="6">
        <v>6.0305556221524892E-3</v>
      </c>
    </row>
    <row r="19" spans="1:9" ht="14.25" customHeight="1" x14ac:dyDescent="0.3">
      <c r="A19" s="3" t="s">
        <v>36</v>
      </c>
      <c r="B19" s="3">
        <v>2022</v>
      </c>
      <c r="C19" s="3" t="s">
        <v>38</v>
      </c>
      <c r="D19" s="3" t="s">
        <v>14</v>
      </c>
      <c r="E19" s="3">
        <v>15</v>
      </c>
      <c r="F19" s="4">
        <v>4681</v>
      </c>
      <c r="G19" s="5">
        <v>8</v>
      </c>
      <c r="H19" s="6">
        <v>0.9428564178516774</v>
      </c>
      <c r="I19" s="6">
        <v>5.7143582148322603E-2</v>
      </c>
    </row>
    <row r="20" spans="1:9" ht="14.25" customHeight="1" x14ac:dyDescent="0.3">
      <c r="A20" s="3" t="s">
        <v>36</v>
      </c>
      <c r="B20" s="3">
        <v>2022</v>
      </c>
      <c r="C20" s="3" t="s">
        <v>39</v>
      </c>
      <c r="D20" s="3" t="s">
        <v>17</v>
      </c>
      <c r="E20" s="3">
        <v>12</v>
      </c>
      <c r="F20" s="4">
        <v>3805</v>
      </c>
      <c r="G20" s="5">
        <v>5</v>
      </c>
      <c r="H20" s="6">
        <v>0.98572656202663855</v>
      </c>
      <c r="I20" s="6">
        <v>1.4273437973361447E-2</v>
      </c>
    </row>
    <row r="21" spans="1:9" ht="14.25" customHeight="1" x14ac:dyDescent="0.3">
      <c r="A21" s="3" t="s">
        <v>40</v>
      </c>
      <c r="B21" s="3">
        <v>2022</v>
      </c>
      <c r="C21" s="3" t="s">
        <v>41</v>
      </c>
      <c r="D21" s="3" t="s">
        <v>20</v>
      </c>
      <c r="E21" s="3">
        <v>15</v>
      </c>
      <c r="F21" s="4">
        <v>1693</v>
      </c>
      <c r="G21" s="5">
        <v>1</v>
      </c>
      <c r="H21" s="6">
        <v>0.38209194885983655</v>
      </c>
      <c r="I21" s="6">
        <v>0.61790805114016345</v>
      </c>
    </row>
    <row r="22" spans="1:9" ht="14.25" customHeight="1" x14ac:dyDescent="0.3">
      <c r="A22" s="3" t="s">
        <v>42</v>
      </c>
      <c r="B22" s="3">
        <v>2022</v>
      </c>
      <c r="C22" s="3" t="s">
        <v>43</v>
      </c>
      <c r="D22" s="3" t="s">
        <v>11</v>
      </c>
      <c r="E22" s="3">
        <v>10</v>
      </c>
      <c r="F22" s="4">
        <v>5438</v>
      </c>
      <c r="G22" s="5">
        <v>7</v>
      </c>
      <c r="H22" s="6">
        <v>0.70934212242637462</v>
      </c>
      <c r="I22" s="6">
        <v>0.29065787757362538</v>
      </c>
    </row>
    <row r="23" spans="1:9" ht="14.25" customHeight="1" x14ac:dyDescent="0.3">
      <c r="A23" s="3" t="s">
        <v>42</v>
      </c>
      <c r="B23" s="3">
        <v>2022</v>
      </c>
      <c r="C23" s="3" t="s">
        <v>44</v>
      </c>
      <c r="D23" s="3" t="s">
        <v>14</v>
      </c>
      <c r="E23" s="3">
        <v>13</v>
      </c>
      <c r="F23" s="4">
        <v>6459</v>
      </c>
      <c r="G23" s="5">
        <v>9</v>
      </c>
      <c r="H23" s="6">
        <v>0.4915050387025599</v>
      </c>
      <c r="I23" s="6">
        <v>0.5084949612974401</v>
      </c>
    </row>
    <row r="24" spans="1:9" ht="14.25" customHeight="1" x14ac:dyDescent="0.3">
      <c r="A24" s="3" t="s">
        <v>42</v>
      </c>
      <c r="B24" s="3">
        <v>2022</v>
      </c>
      <c r="C24" s="3" t="s">
        <v>45</v>
      </c>
      <c r="D24" s="3" t="s">
        <v>17</v>
      </c>
      <c r="E24" s="3">
        <v>10</v>
      </c>
      <c r="F24" s="4">
        <v>5611</v>
      </c>
      <c r="G24" s="5">
        <v>12</v>
      </c>
      <c r="H24" s="6">
        <v>0.62542907676630399</v>
      </c>
      <c r="I24" s="6">
        <v>0.37457092323369601</v>
      </c>
    </row>
    <row r="25" spans="1:9" ht="14.25" customHeight="1" x14ac:dyDescent="0.3">
      <c r="A25" s="3" t="s">
        <v>46</v>
      </c>
      <c r="B25" s="3">
        <v>2022</v>
      </c>
      <c r="C25" s="3" t="s">
        <v>47</v>
      </c>
      <c r="D25" s="3" t="s">
        <v>20</v>
      </c>
      <c r="E25" s="3">
        <v>9</v>
      </c>
      <c r="F25" s="4">
        <v>9491</v>
      </c>
      <c r="G25" s="5">
        <v>4</v>
      </c>
      <c r="H25" s="6">
        <v>0.66097490226774958</v>
      </c>
      <c r="I25" s="6">
        <v>0.33902509773225042</v>
      </c>
    </row>
    <row r="26" spans="1:9" ht="14.25" customHeight="1" x14ac:dyDescent="0.3">
      <c r="A26" s="3" t="s">
        <v>46</v>
      </c>
      <c r="B26" s="3">
        <v>2023</v>
      </c>
      <c r="C26" s="3" t="s">
        <v>48</v>
      </c>
      <c r="D26" s="3" t="s">
        <v>11</v>
      </c>
      <c r="E26" s="3">
        <v>15</v>
      </c>
      <c r="F26" s="4">
        <v>9553</v>
      </c>
      <c r="G26" s="5">
        <v>12</v>
      </c>
      <c r="H26" s="6">
        <v>0.82813028529210675</v>
      </c>
      <c r="I26" s="6">
        <v>0.17186971470789325</v>
      </c>
    </row>
    <row r="27" spans="1:9" ht="14.25" customHeight="1" x14ac:dyDescent="0.3">
      <c r="A27" s="3" t="s">
        <v>49</v>
      </c>
      <c r="B27" s="3">
        <v>2022</v>
      </c>
      <c r="C27" s="3" t="s">
        <v>50</v>
      </c>
      <c r="D27" s="3" t="s">
        <v>14</v>
      </c>
      <c r="E27" s="3">
        <v>15</v>
      </c>
      <c r="F27" s="4">
        <v>5324</v>
      </c>
      <c r="G27" s="5">
        <v>7</v>
      </c>
      <c r="H27" s="6">
        <v>0.71850471541493011</v>
      </c>
      <c r="I27" s="6">
        <v>0.28149528458506989</v>
      </c>
    </row>
    <row r="28" spans="1:9" ht="14.25" customHeight="1" x14ac:dyDescent="0.3">
      <c r="A28" s="3" t="s">
        <v>51</v>
      </c>
      <c r="B28" s="3">
        <v>2022</v>
      </c>
      <c r="C28" s="3" t="s">
        <v>52</v>
      </c>
      <c r="D28" s="3" t="s">
        <v>17</v>
      </c>
      <c r="E28" s="3">
        <v>8</v>
      </c>
      <c r="F28" s="4">
        <v>2784</v>
      </c>
      <c r="G28" s="5">
        <v>7</v>
      </c>
      <c r="H28" s="6">
        <v>1.635921983259303E-2</v>
      </c>
      <c r="I28" s="6">
        <v>0.98364078016740697</v>
      </c>
    </row>
    <row r="29" spans="1:9" ht="14.25" customHeight="1" x14ac:dyDescent="0.3">
      <c r="A29" s="3" t="s">
        <v>53</v>
      </c>
      <c r="B29" s="3">
        <v>2022</v>
      </c>
      <c r="C29" s="3" t="s">
        <v>54</v>
      </c>
      <c r="D29" s="3" t="s">
        <v>20</v>
      </c>
      <c r="E29" s="3">
        <v>10</v>
      </c>
      <c r="F29" s="4">
        <v>2837</v>
      </c>
      <c r="G29" s="5">
        <v>10</v>
      </c>
      <c r="H29" s="6">
        <v>0.88142317758680422</v>
      </c>
      <c r="I29" s="6">
        <v>0.11857682241319578</v>
      </c>
    </row>
    <row r="30" spans="1:9" ht="14.25" customHeight="1" x14ac:dyDescent="0.3">
      <c r="A30" s="3" t="s">
        <v>55</v>
      </c>
      <c r="B30" s="3">
        <v>2022</v>
      </c>
      <c r="C30" s="3" t="s">
        <v>56</v>
      </c>
      <c r="D30" s="3" t="s">
        <v>11</v>
      </c>
      <c r="E30" s="3">
        <v>11</v>
      </c>
      <c r="F30" s="4">
        <v>8762</v>
      </c>
      <c r="G30" s="5">
        <v>3</v>
      </c>
      <c r="H30" s="6">
        <v>0.63115247266814389</v>
      </c>
      <c r="I30" s="6">
        <v>0.36884752733185611</v>
      </c>
    </row>
    <row r="31" spans="1:9" ht="14.25" customHeight="1" x14ac:dyDescent="0.3">
      <c r="A31" s="3" t="s">
        <v>57</v>
      </c>
      <c r="B31" s="3">
        <v>2022</v>
      </c>
      <c r="C31" s="3" t="s">
        <v>58</v>
      </c>
      <c r="D31" s="3" t="s">
        <v>14</v>
      </c>
      <c r="E31" s="3">
        <v>10</v>
      </c>
      <c r="F31" s="4">
        <v>6442</v>
      </c>
      <c r="G31" s="5">
        <v>9</v>
      </c>
      <c r="H31" s="6">
        <v>2.2248393063721839E-2</v>
      </c>
      <c r="I31" s="6">
        <v>0.97775160693627816</v>
      </c>
    </row>
    <row r="32" spans="1:9" ht="14.25" customHeight="1" x14ac:dyDescent="0.3">
      <c r="A32" s="3" t="s">
        <v>59</v>
      </c>
      <c r="B32" s="3">
        <v>2022</v>
      </c>
      <c r="C32" s="3" t="s">
        <v>60</v>
      </c>
      <c r="D32" s="3" t="s">
        <v>17</v>
      </c>
      <c r="E32" s="3">
        <v>14</v>
      </c>
      <c r="F32" s="4">
        <v>2876</v>
      </c>
      <c r="G32" s="5">
        <v>2</v>
      </c>
      <c r="H32" s="6">
        <v>0.99837239762561092</v>
      </c>
      <c r="I32" s="6">
        <v>1.6276023743890811E-3</v>
      </c>
    </row>
    <row r="33" spans="1:9" ht="14.25" customHeight="1" x14ac:dyDescent="0.3">
      <c r="A33" s="3" t="s">
        <v>61</v>
      </c>
      <c r="B33" s="3">
        <v>2022</v>
      </c>
      <c r="C33" s="3" t="s">
        <v>62</v>
      </c>
      <c r="D33" s="3" t="s">
        <v>20</v>
      </c>
      <c r="E33" s="3">
        <v>9</v>
      </c>
      <c r="F33" s="4">
        <v>4027</v>
      </c>
      <c r="G33" s="5">
        <v>1</v>
      </c>
      <c r="H33" s="6">
        <v>0.57282925637132831</v>
      </c>
      <c r="I33" s="6">
        <v>0.42717074362867169</v>
      </c>
    </row>
    <row r="34" spans="1:9" ht="14.25" customHeight="1" x14ac:dyDescent="0.3"/>
    <row r="35" spans="1:9" ht="14.25" customHeight="1" x14ac:dyDescent="0.3"/>
    <row r="36" spans="1:9" ht="14.25" customHeight="1" x14ac:dyDescent="0.3"/>
    <row r="37" spans="1:9" ht="14.25" customHeight="1" x14ac:dyDescent="0.3"/>
    <row r="38" spans="1:9" ht="14.25" customHeight="1" x14ac:dyDescent="0.3"/>
    <row r="39" spans="1:9" ht="14.25" customHeight="1" x14ac:dyDescent="0.3"/>
    <row r="40" spans="1:9" ht="14.25" customHeight="1" x14ac:dyDescent="0.3"/>
    <row r="41" spans="1:9" ht="14.25" customHeight="1" x14ac:dyDescent="0.3"/>
    <row r="42" spans="1:9" ht="14.25" customHeight="1" x14ac:dyDescent="0.3"/>
    <row r="43" spans="1:9" ht="14.25" customHeight="1" x14ac:dyDescent="0.3"/>
    <row r="44" spans="1:9" ht="14.25" customHeight="1" x14ac:dyDescent="0.3"/>
    <row r="45" spans="1:9" ht="14.25" customHeight="1" x14ac:dyDescent="0.3"/>
    <row r="46" spans="1:9" ht="14.25" customHeight="1" x14ac:dyDescent="0.3"/>
    <row r="47" spans="1:9" ht="14.25" customHeight="1" x14ac:dyDescent="0.3"/>
    <row r="48" spans="1:9"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conditionalFormatting sqref="G1:I33">
    <cfRule type="containsText" dxfId="1498" priority="1" operator="containsText" text="MULTI LINGUAL">
      <formula>NOT(ISERROR(SEARCH(("MULTI LINGUAL"),(G1))))</formula>
    </cfRule>
  </conditionalFormatting>
  <pageMargins left="0.7" right="0.7" top="0.75" bottom="0.75" header="0" footer="0"/>
  <pageSetup orientation="portrait"/>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5FF6-4A73-4FB4-87A1-5756BB3E2A7F}">
  <dimension ref="A3:H38"/>
  <sheetViews>
    <sheetView topLeftCell="A10" workbookViewId="0">
      <selection activeCell="C8" sqref="C8"/>
    </sheetView>
  </sheetViews>
  <sheetFormatPr defaultRowHeight="14.4" x14ac:dyDescent="0.3"/>
  <cols>
    <col min="1" max="1" width="15.5546875" bestFit="1" customWidth="1"/>
    <col min="2" max="2" width="20.77734375" bestFit="1" customWidth="1"/>
    <col min="3" max="3" width="9.77734375" customWidth="1"/>
    <col min="4" max="4" width="27.5546875" bestFit="1" customWidth="1"/>
    <col min="5" max="5" width="7" bestFit="1" customWidth="1"/>
    <col min="6" max="6" width="9.44140625" customWidth="1"/>
    <col min="7" max="7" width="12.44140625" bestFit="1" customWidth="1"/>
    <col min="8" max="8" width="20.77734375" bestFit="1" customWidth="1"/>
    <col min="10" max="10" width="12.44140625" bestFit="1" customWidth="1"/>
    <col min="11" max="11" width="20.77734375" bestFit="1" customWidth="1"/>
  </cols>
  <sheetData>
    <row r="3" spans="1:8" x14ac:dyDescent="0.3">
      <c r="A3" s="9" t="s">
        <v>64</v>
      </c>
      <c r="B3" s="10"/>
      <c r="G3" s="9" t="s">
        <v>69</v>
      </c>
      <c r="H3" s="10" t="s">
        <v>63</v>
      </c>
    </row>
    <row r="4" spans="1:8" x14ac:dyDescent="0.3">
      <c r="A4" s="11" t="s">
        <v>65</v>
      </c>
      <c r="B4" s="12">
        <v>4947.5</v>
      </c>
      <c r="D4" s="22" t="s">
        <v>65</v>
      </c>
      <c r="E4" s="26">
        <f>GETPIVOTDATA("Average of Salary",$A$3)</f>
        <v>4947.5</v>
      </c>
      <c r="G4" s="11" t="s">
        <v>38</v>
      </c>
      <c r="H4" s="18">
        <v>15</v>
      </c>
    </row>
    <row r="5" spans="1:8" x14ac:dyDescent="0.3">
      <c r="A5" s="13" t="s">
        <v>66</v>
      </c>
      <c r="B5" s="27">
        <v>7.4375</v>
      </c>
      <c r="D5" s="22" t="s">
        <v>66</v>
      </c>
      <c r="E5" s="24">
        <f>GETPIVOTDATA("Average of Tenure (Years)",$A$3)</f>
        <v>7.4375</v>
      </c>
      <c r="G5" s="13" t="s">
        <v>41</v>
      </c>
      <c r="H5" s="19">
        <v>15</v>
      </c>
    </row>
    <row r="6" spans="1:8" x14ac:dyDescent="0.3">
      <c r="A6" s="14" t="s">
        <v>63</v>
      </c>
      <c r="B6" s="15">
        <v>369</v>
      </c>
      <c r="D6" s="22" t="s">
        <v>63</v>
      </c>
      <c r="E6" s="23">
        <f>GETPIVOTDATA("Sum of Total Employees",$A$3)</f>
        <v>369</v>
      </c>
      <c r="G6" s="13" t="s">
        <v>22</v>
      </c>
      <c r="H6" s="19">
        <v>14</v>
      </c>
    </row>
    <row r="7" spans="1:8" x14ac:dyDescent="0.3">
      <c r="G7" s="13" t="s">
        <v>10</v>
      </c>
      <c r="H7" s="19">
        <v>10</v>
      </c>
    </row>
    <row r="8" spans="1:8" x14ac:dyDescent="0.3">
      <c r="A8" s="9" t="s">
        <v>64</v>
      </c>
      <c r="B8" s="10"/>
      <c r="G8" s="13" t="s">
        <v>33</v>
      </c>
      <c r="H8" s="19">
        <v>9</v>
      </c>
    </row>
    <row r="9" spans="1:8" x14ac:dyDescent="0.3">
      <c r="A9" s="11" t="s">
        <v>67</v>
      </c>
      <c r="B9" s="16">
        <v>0.60628194482428743</v>
      </c>
      <c r="D9" s="22" t="s">
        <v>67</v>
      </c>
      <c r="E9" s="25">
        <f>GETPIVOTDATA("Average of Job Satisfaction %",$A$8)</f>
        <v>0.60628194482428743</v>
      </c>
      <c r="G9" s="13" t="s">
        <v>29</v>
      </c>
      <c r="H9" s="19">
        <v>15</v>
      </c>
    </row>
    <row r="10" spans="1:8" x14ac:dyDescent="0.3">
      <c r="A10" s="14" t="s">
        <v>68</v>
      </c>
      <c r="B10" s="17">
        <v>0.39371805517571268</v>
      </c>
      <c r="D10" s="22" t="s">
        <v>68</v>
      </c>
      <c r="E10" s="25">
        <f>GETPIVOTDATA("Average of Job Unsatisfaction %",$A$8)</f>
        <v>0.39371805517571268</v>
      </c>
      <c r="G10" s="13" t="s">
        <v>37</v>
      </c>
      <c r="H10" s="19">
        <v>9</v>
      </c>
    </row>
    <row r="11" spans="1:8" x14ac:dyDescent="0.3">
      <c r="G11" s="13" t="s">
        <v>48</v>
      </c>
      <c r="H11" s="19">
        <v>15</v>
      </c>
    </row>
    <row r="12" spans="1:8" x14ac:dyDescent="0.3">
      <c r="A12" s="9" t="s">
        <v>69</v>
      </c>
      <c r="B12" s="10" t="s">
        <v>63</v>
      </c>
      <c r="D12" s="22" t="s">
        <v>11</v>
      </c>
      <c r="E12" s="23">
        <f>GETPIVOTDATA("Total Employees",$A$12,"Job Title","Analyst")</f>
        <v>89</v>
      </c>
      <c r="G12" s="13" t="s">
        <v>43</v>
      </c>
      <c r="H12" s="19">
        <v>10</v>
      </c>
    </row>
    <row r="13" spans="1:8" x14ac:dyDescent="0.3">
      <c r="A13" s="11" t="s">
        <v>11</v>
      </c>
      <c r="B13" s="18">
        <v>89</v>
      </c>
      <c r="D13" s="22" t="s">
        <v>17</v>
      </c>
      <c r="E13" s="23">
        <f>GETPIVOTDATA("Total Employees",$A$12,"Job Title","Manager")</f>
        <v>93</v>
      </c>
      <c r="G13" s="13" t="s">
        <v>39</v>
      </c>
      <c r="H13" s="19">
        <v>12</v>
      </c>
    </row>
    <row r="14" spans="1:8" x14ac:dyDescent="0.3">
      <c r="A14" s="13" t="s">
        <v>17</v>
      </c>
      <c r="B14" s="19">
        <v>93</v>
      </c>
      <c r="D14" s="22" t="s">
        <v>20</v>
      </c>
      <c r="E14" s="23">
        <f>GETPIVOTDATA("Total Employees",$A$12,"Job Title","Security")</f>
        <v>94</v>
      </c>
      <c r="G14" s="13" t="s">
        <v>50</v>
      </c>
      <c r="H14" s="19">
        <v>15</v>
      </c>
    </row>
    <row r="15" spans="1:8" x14ac:dyDescent="0.3">
      <c r="A15" s="13" t="s">
        <v>20</v>
      </c>
      <c r="B15" s="19">
        <v>94</v>
      </c>
      <c r="D15" s="22" t="s">
        <v>14</v>
      </c>
      <c r="E15" s="23">
        <f>GETPIVOTDATA("Total Employees",$A$12,"Job Title","Technical Support")</f>
        <v>93</v>
      </c>
      <c r="G15" s="13" t="s">
        <v>27</v>
      </c>
      <c r="H15" s="19">
        <v>15</v>
      </c>
    </row>
    <row r="16" spans="1:8" x14ac:dyDescent="0.3">
      <c r="A16" s="13" t="s">
        <v>14</v>
      </c>
      <c r="B16" s="19">
        <v>93</v>
      </c>
      <c r="G16" s="13" t="s">
        <v>52</v>
      </c>
      <c r="H16" s="19">
        <v>8</v>
      </c>
    </row>
    <row r="17" spans="1:8" x14ac:dyDescent="0.3">
      <c r="A17" s="20" t="s">
        <v>70</v>
      </c>
      <c r="B17" s="21">
        <v>369</v>
      </c>
      <c r="G17" s="13" t="s">
        <v>28</v>
      </c>
      <c r="H17" s="19">
        <v>8</v>
      </c>
    </row>
    <row r="18" spans="1:8" x14ac:dyDescent="0.3">
      <c r="G18" s="13" t="s">
        <v>21</v>
      </c>
      <c r="H18" s="19">
        <v>11</v>
      </c>
    </row>
    <row r="19" spans="1:8" x14ac:dyDescent="0.3">
      <c r="A19" s="9" t="s">
        <v>69</v>
      </c>
      <c r="B19" s="10" t="s">
        <v>63</v>
      </c>
      <c r="G19" s="13" t="s">
        <v>30</v>
      </c>
      <c r="H19" s="19">
        <v>13</v>
      </c>
    </row>
    <row r="20" spans="1:8" x14ac:dyDescent="0.3">
      <c r="A20" s="11" t="s">
        <v>9</v>
      </c>
      <c r="B20" s="18">
        <v>10</v>
      </c>
      <c r="G20" s="13" t="s">
        <v>13</v>
      </c>
      <c r="H20" s="19">
        <v>9</v>
      </c>
    </row>
    <row r="21" spans="1:8" x14ac:dyDescent="0.3">
      <c r="A21" s="13" t="s">
        <v>12</v>
      </c>
      <c r="B21" s="19">
        <v>9</v>
      </c>
      <c r="G21" s="13" t="s">
        <v>24</v>
      </c>
      <c r="H21" s="19">
        <v>11</v>
      </c>
    </row>
    <row r="22" spans="1:8" x14ac:dyDescent="0.3">
      <c r="A22" s="13" t="s">
        <v>15</v>
      </c>
      <c r="B22" s="19">
        <v>11</v>
      </c>
      <c r="G22" s="13" t="s">
        <v>35</v>
      </c>
      <c r="H22" s="19">
        <v>15</v>
      </c>
    </row>
    <row r="23" spans="1:8" x14ac:dyDescent="0.3">
      <c r="A23" s="13" t="s">
        <v>18</v>
      </c>
      <c r="B23" s="19">
        <v>35</v>
      </c>
      <c r="G23" s="13" t="s">
        <v>32</v>
      </c>
      <c r="H23" s="19">
        <v>8</v>
      </c>
    </row>
    <row r="24" spans="1:8" x14ac:dyDescent="0.3">
      <c r="A24" s="13" t="s">
        <v>23</v>
      </c>
      <c r="B24" s="19">
        <v>24</v>
      </c>
      <c r="G24" s="13" t="s">
        <v>34</v>
      </c>
      <c r="H24" s="19">
        <v>12</v>
      </c>
    </row>
    <row r="25" spans="1:8" x14ac:dyDescent="0.3">
      <c r="A25" s="13" t="s">
        <v>26</v>
      </c>
      <c r="B25" s="19">
        <v>51</v>
      </c>
      <c r="G25" s="13" t="s">
        <v>44</v>
      </c>
      <c r="H25" s="19">
        <v>13</v>
      </c>
    </row>
    <row r="26" spans="1:8" x14ac:dyDescent="0.3">
      <c r="A26" s="13" t="s">
        <v>31</v>
      </c>
      <c r="B26" s="19">
        <v>44</v>
      </c>
      <c r="G26" s="13" t="s">
        <v>47</v>
      </c>
      <c r="H26" s="19">
        <v>9</v>
      </c>
    </row>
    <row r="27" spans="1:8" x14ac:dyDescent="0.3">
      <c r="A27" s="13" t="s">
        <v>36</v>
      </c>
      <c r="B27" s="19">
        <v>36</v>
      </c>
      <c r="G27" s="13" t="s">
        <v>45</v>
      </c>
      <c r="H27" s="19">
        <v>10</v>
      </c>
    </row>
    <row r="28" spans="1:8" x14ac:dyDescent="0.3">
      <c r="A28" s="13" t="s">
        <v>40</v>
      </c>
      <c r="B28" s="19">
        <v>15</v>
      </c>
      <c r="G28" s="13" t="s">
        <v>25</v>
      </c>
      <c r="H28" s="19">
        <v>13</v>
      </c>
    </row>
    <row r="29" spans="1:8" x14ac:dyDescent="0.3">
      <c r="A29" s="13" t="s">
        <v>42</v>
      </c>
      <c r="B29" s="19">
        <v>33</v>
      </c>
      <c r="G29" s="13" t="s">
        <v>58</v>
      </c>
      <c r="H29" s="19">
        <v>10</v>
      </c>
    </row>
    <row r="30" spans="1:8" x14ac:dyDescent="0.3">
      <c r="A30" s="13" t="s">
        <v>46</v>
      </c>
      <c r="B30" s="19">
        <v>24</v>
      </c>
      <c r="G30" s="13" t="s">
        <v>19</v>
      </c>
      <c r="H30" s="19">
        <v>10</v>
      </c>
    </row>
    <row r="31" spans="1:8" x14ac:dyDescent="0.3">
      <c r="A31" s="13" t="s">
        <v>49</v>
      </c>
      <c r="B31" s="19">
        <v>15</v>
      </c>
      <c r="G31" s="13" t="s">
        <v>56</v>
      </c>
      <c r="H31" s="19">
        <v>11</v>
      </c>
    </row>
    <row r="32" spans="1:8" x14ac:dyDescent="0.3">
      <c r="A32" s="13" t="s">
        <v>51</v>
      </c>
      <c r="B32" s="19">
        <v>8</v>
      </c>
      <c r="G32" s="13" t="s">
        <v>62</v>
      </c>
      <c r="H32" s="19">
        <v>9</v>
      </c>
    </row>
    <row r="33" spans="1:8" x14ac:dyDescent="0.3">
      <c r="A33" s="13" t="s">
        <v>53</v>
      </c>
      <c r="B33" s="19">
        <v>10</v>
      </c>
      <c r="G33" s="13" t="s">
        <v>60</v>
      </c>
      <c r="H33" s="19">
        <v>14</v>
      </c>
    </row>
    <row r="34" spans="1:8" x14ac:dyDescent="0.3">
      <c r="A34" s="13" t="s">
        <v>55</v>
      </c>
      <c r="B34" s="19">
        <v>11</v>
      </c>
      <c r="G34" s="13" t="s">
        <v>54</v>
      </c>
      <c r="H34" s="19">
        <v>10</v>
      </c>
    </row>
    <row r="35" spans="1:8" x14ac:dyDescent="0.3">
      <c r="A35" s="13" t="s">
        <v>57</v>
      </c>
      <c r="B35" s="19">
        <v>10</v>
      </c>
      <c r="G35" s="13" t="s">
        <v>16</v>
      </c>
      <c r="H35" s="19">
        <v>11</v>
      </c>
    </row>
    <row r="36" spans="1:8" x14ac:dyDescent="0.3">
      <c r="A36" s="13" t="s">
        <v>59</v>
      </c>
      <c r="B36" s="19">
        <v>14</v>
      </c>
      <c r="G36" s="20" t="s">
        <v>70</v>
      </c>
      <c r="H36" s="21">
        <v>369</v>
      </c>
    </row>
    <row r="37" spans="1:8" x14ac:dyDescent="0.3">
      <c r="A37" s="13" t="s">
        <v>61</v>
      </c>
      <c r="B37" s="19">
        <v>9</v>
      </c>
    </row>
    <row r="38" spans="1:8" x14ac:dyDescent="0.3">
      <c r="A38" s="20" t="s">
        <v>70</v>
      </c>
      <c r="B38" s="21">
        <v>369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tabSelected="1" topLeftCell="A7" zoomScale="96" zoomScaleNormal="96" workbookViewId="0">
      <selection activeCell="X21" sqref="X21"/>
    </sheetView>
  </sheetViews>
  <sheetFormatPr defaultColWidth="14.44140625" defaultRowHeight="15" customHeight="1" x14ac:dyDescent="0.3"/>
  <cols>
    <col min="1" max="26" width="9.109375" style="8" customWidth="1"/>
    <col min="27" max="16384" width="14.44140625" style="8"/>
  </cols>
  <sheetData>
    <row r="1" spans="1:26" ht="14.25" customHeight="1" x14ac:dyDescent="0.3">
      <c r="A1" s="7"/>
      <c r="B1" s="7"/>
      <c r="C1" s="7"/>
      <c r="D1" s="7"/>
      <c r="E1" s="7"/>
      <c r="F1" s="7"/>
      <c r="G1" s="7"/>
      <c r="H1" s="7"/>
      <c r="I1" s="7"/>
      <c r="J1" s="7"/>
      <c r="K1" s="7"/>
      <c r="L1" s="7"/>
      <c r="M1" s="7"/>
      <c r="N1" s="7"/>
      <c r="O1" s="7"/>
      <c r="P1" s="7"/>
      <c r="Q1" s="7"/>
      <c r="R1" s="7"/>
      <c r="S1" s="7"/>
      <c r="T1" s="7"/>
      <c r="U1" s="7"/>
      <c r="V1" s="7"/>
      <c r="W1" s="7"/>
      <c r="X1" s="7"/>
      <c r="Y1" s="7"/>
      <c r="Z1" s="7"/>
    </row>
    <row r="2" spans="1:26" ht="14.25" customHeight="1" x14ac:dyDescent="0.3">
      <c r="A2" s="7"/>
      <c r="B2" s="7"/>
      <c r="C2" s="7"/>
      <c r="D2" s="7"/>
      <c r="E2" s="7"/>
      <c r="F2" s="7"/>
      <c r="G2" s="7"/>
      <c r="H2" s="7"/>
      <c r="I2" s="7"/>
      <c r="J2" s="7"/>
      <c r="K2" s="7"/>
      <c r="L2" s="7"/>
      <c r="M2" s="7"/>
      <c r="N2" s="7"/>
      <c r="O2" s="7"/>
      <c r="P2" s="7"/>
      <c r="Q2" s="7"/>
      <c r="R2" s="7"/>
      <c r="S2" s="7"/>
      <c r="T2" s="7"/>
      <c r="U2" s="7"/>
      <c r="V2" s="7"/>
      <c r="W2" s="7"/>
      <c r="X2" s="7"/>
      <c r="Y2" s="7"/>
      <c r="Z2" s="7"/>
    </row>
    <row r="3" spans="1:26" ht="14.25" customHeight="1" x14ac:dyDescent="0.3">
      <c r="A3" s="7"/>
      <c r="B3" s="7"/>
      <c r="C3" s="7"/>
      <c r="D3" s="7"/>
      <c r="E3" s="7"/>
      <c r="F3" s="7"/>
      <c r="G3" s="7"/>
      <c r="H3" s="7"/>
      <c r="I3" s="7"/>
      <c r="J3" s="7"/>
      <c r="K3" s="7"/>
      <c r="L3" s="7"/>
      <c r="M3" s="7"/>
      <c r="N3" s="7"/>
      <c r="O3" s="7"/>
      <c r="P3" s="7"/>
      <c r="Q3" s="7"/>
      <c r="R3" s="7"/>
      <c r="S3" s="7"/>
      <c r="T3" s="7"/>
      <c r="U3" s="7"/>
      <c r="V3" s="7"/>
      <c r="W3" s="7"/>
      <c r="X3" s="7"/>
      <c r="Y3" s="7"/>
      <c r="Z3" s="7"/>
    </row>
    <row r="4" spans="1:26" ht="14.25" customHeight="1" x14ac:dyDescent="0.3">
      <c r="A4" s="7"/>
      <c r="B4" s="7"/>
      <c r="C4" s="7"/>
      <c r="D4" s="7"/>
      <c r="E4" s="7"/>
      <c r="F4" s="7"/>
      <c r="G4" s="7"/>
      <c r="H4" s="7"/>
      <c r="I4" s="7"/>
      <c r="J4" s="7"/>
      <c r="K4" s="7"/>
      <c r="L4" s="7"/>
      <c r="M4" s="7"/>
      <c r="N4" s="7"/>
      <c r="O4" s="7"/>
      <c r="P4" s="7"/>
      <c r="Q4" s="7"/>
      <c r="R4" s="7"/>
      <c r="S4" s="7"/>
      <c r="T4" s="7"/>
      <c r="U4" s="7"/>
      <c r="V4" s="7"/>
      <c r="W4" s="7"/>
      <c r="X4" s="7"/>
      <c r="Y4" s="7"/>
      <c r="Z4" s="7"/>
    </row>
    <row r="5" spans="1:26" ht="14.25" customHeight="1" x14ac:dyDescent="0.3">
      <c r="A5" s="7"/>
      <c r="B5" s="7"/>
      <c r="C5" s="7"/>
      <c r="D5" s="7"/>
      <c r="E5" s="7"/>
      <c r="F5" s="7"/>
      <c r="G5" s="7"/>
      <c r="H5" s="7"/>
      <c r="I5" s="7"/>
      <c r="J5" s="7"/>
      <c r="K5" s="7"/>
      <c r="L5" s="7"/>
      <c r="M5" s="7"/>
      <c r="N5" s="7"/>
      <c r="O5" s="7"/>
      <c r="P5" s="7"/>
      <c r="Q5" s="7"/>
      <c r="R5" s="7"/>
      <c r="S5" s="7"/>
      <c r="T5" s="7"/>
      <c r="U5" s="7"/>
      <c r="V5" s="7"/>
      <c r="W5" s="7"/>
      <c r="X5" s="7"/>
      <c r="Y5" s="7"/>
      <c r="Z5" s="7"/>
    </row>
    <row r="6" spans="1:26" ht="14.25" customHeight="1" x14ac:dyDescent="0.3">
      <c r="A6" s="7"/>
      <c r="B6" s="7"/>
      <c r="C6" s="7"/>
      <c r="D6" s="7"/>
      <c r="E6" s="7"/>
      <c r="F6" s="7"/>
      <c r="G6" s="7"/>
      <c r="H6" s="7"/>
      <c r="I6" s="7"/>
      <c r="J6" s="7"/>
      <c r="K6" s="7"/>
      <c r="L6" s="7"/>
      <c r="M6" s="7"/>
      <c r="N6" s="7"/>
      <c r="O6" s="7"/>
      <c r="P6" s="7"/>
      <c r="Q6" s="7"/>
      <c r="R6" s="7"/>
      <c r="S6" s="7"/>
      <c r="T6" s="7"/>
      <c r="U6" s="7"/>
      <c r="V6" s="7"/>
      <c r="W6" s="7"/>
      <c r="X6" s="7"/>
      <c r="Y6" s="7"/>
      <c r="Z6" s="7"/>
    </row>
    <row r="7" spans="1:26" ht="14.25" customHeight="1" x14ac:dyDescent="0.3">
      <c r="A7" s="7"/>
      <c r="B7" s="7"/>
      <c r="C7" s="7"/>
      <c r="D7" s="7"/>
      <c r="E7" s="7"/>
      <c r="F7" s="7"/>
      <c r="G7" s="7"/>
      <c r="H7" s="7"/>
      <c r="I7" s="7"/>
      <c r="J7" s="7"/>
      <c r="K7" s="7"/>
      <c r="L7" s="7"/>
      <c r="M7" s="7"/>
      <c r="N7" s="7"/>
      <c r="O7" s="7"/>
      <c r="P7" s="7"/>
      <c r="Q7" s="7"/>
      <c r="R7" s="7"/>
      <c r="S7" s="7"/>
      <c r="T7" s="7"/>
      <c r="U7" s="7"/>
      <c r="V7" s="7"/>
      <c r="W7" s="7"/>
      <c r="X7" s="7"/>
      <c r="Y7" s="7"/>
      <c r="Z7" s="7"/>
    </row>
    <row r="8" spans="1:26" ht="14.25" customHeight="1" x14ac:dyDescent="0.3">
      <c r="A8" s="7"/>
      <c r="B8" s="7"/>
      <c r="C8" s="7"/>
      <c r="D8" s="7"/>
      <c r="E8" s="7"/>
      <c r="F8" s="7"/>
      <c r="G8" s="7"/>
      <c r="H8" s="7"/>
      <c r="I8" s="7"/>
      <c r="J8" s="7"/>
      <c r="K8" s="7"/>
      <c r="L8" s="7"/>
      <c r="M8" s="7"/>
      <c r="N8" s="7"/>
      <c r="O8" s="7"/>
      <c r="P8" s="7"/>
      <c r="Q8" s="7"/>
      <c r="R8" s="7"/>
      <c r="S8" s="7"/>
      <c r="T8" s="7"/>
      <c r="U8" s="7"/>
      <c r="V8" s="7"/>
      <c r="W8" s="7"/>
      <c r="X8" s="7"/>
      <c r="Y8" s="7"/>
      <c r="Z8" s="7"/>
    </row>
    <row r="9" spans="1:26" ht="14.25" customHeight="1" x14ac:dyDescent="0.3">
      <c r="A9" s="7"/>
      <c r="B9" s="7"/>
      <c r="C9" s="7"/>
      <c r="D9" s="7"/>
      <c r="E9" s="7"/>
      <c r="F9" s="7"/>
      <c r="G9" s="7"/>
      <c r="H9" s="7"/>
      <c r="I9" s="7"/>
      <c r="J9" s="7"/>
      <c r="K9" s="7"/>
      <c r="L9" s="7"/>
      <c r="M9" s="7"/>
      <c r="N9" s="7"/>
      <c r="O9" s="7"/>
      <c r="P9" s="7"/>
      <c r="Q9" s="7"/>
      <c r="R9" s="7"/>
      <c r="S9" s="7"/>
      <c r="T9" s="7"/>
      <c r="U9" s="7"/>
      <c r="V9" s="7"/>
      <c r="W9" s="7"/>
      <c r="X9" s="7"/>
      <c r="Y9" s="7"/>
      <c r="Z9" s="7"/>
    </row>
    <row r="10" spans="1:26" ht="14.25" customHeight="1" x14ac:dyDescent="0.3">
      <c r="A10" s="7"/>
      <c r="B10" s="7"/>
      <c r="C10" s="7"/>
      <c r="D10" s="7"/>
      <c r="E10" s="7"/>
      <c r="F10" s="7"/>
      <c r="G10" s="7"/>
      <c r="H10" s="7"/>
      <c r="I10" s="7"/>
      <c r="J10" s="7"/>
      <c r="K10" s="7"/>
      <c r="L10" s="7"/>
      <c r="M10" s="7"/>
      <c r="N10" s="7"/>
      <c r="O10" s="7"/>
      <c r="P10" s="7"/>
      <c r="Q10" s="7"/>
      <c r="R10" s="7"/>
      <c r="S10" s="7"/>
      <c r="T10" s="7"/>
      <c r="U10" s="7"/>
      <c r="V10" s="7"/>
      <c r="W10" s="7"/>
      <c r="X10" s="7"/>
      <c r="Y10" s="7"/>
      <c r="Z10" s="7"/>
    </row>
    <row r="11" spans="1:26" ht="14.25" customHeight="1" x14ac:dyDescent="0.3">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ht="14.25" customHeight="1" x14ac:dyDescent="0.3">
      <c r="A12" s="7"/>
      <c r="B12" s="7"/>
      <c r="C12" s="7"/>
      <c r="D12" s="7"/>
      <c r="E12" s="7"/>
      <c r="F12" s="7"/>
      <c r="G12" s="7"/>
      <c r="H12" s="7"/>
      <c r="I12" s="7"/>
      <c r="J12" s="7"/>
      <c r="K12" s="7"/>
      <c r="L12" s="7"/>
      <c r="M12" s="7"/>
      <c r="N12" s="7"/>
      <c r="O12" s="7"/>
      <c r="P12" s="7"/>
      <c r="Q12" s="7"/>
      <c r="R12" s="7"/>
      <c r="S12" s="7"/>
      <c r="T12" s="7"/>
      <c r="U12" s="7"/>
      <c r="V12" s="7"/>
      <c r="W12" s="7"/>
      <c r="X12" s="7"/>
      <c r="Y12" s="7"/>
      <c r="Z12" s="7"/>
    </row>
    <row r="13" spans="1:26" ht="14.25" customHeight="1" x14ac:dyDescent="0.3">
      <c r="A13" s="7"/>
      <c r="B13" s="7"/>
      <c r="C13" s="7"/>
      <c r="D13" s="7"/>
      <c r="E13" s="7"/>
      <c r="F13" s="7"/>
      <c r="G13" s="7"/>
      <c r="H13" s="7"/>
      <c r="I13" s="7"/>
      <c r="J13" s="7"/>
      <c r="K13" s="7"/>
      <c r="L13" s="7"/>
      <c r="M13" s="7"/>
      <c r="N13" s="7"/>
      <c r="O13" s="7"/>
      <c r="P13" s="7"/>
      <c r="Q13" s="7"/>
      <c r="R13" s="7"/>
      <c r="S13" s="7"/>
      <c r="T13" s="7"/>
      <c r="U13" s="7"/>
      <c r="V13" s="7"/>
      <c r="W13" s="7"/>
      <c r="X13" s="7"/>
      <c r="Y13" s="7"/>
      <c r="Z13" s="7"/>
    </row>
    <row r="14" spans="1:26" ht="14.25" customHeight="1" x14ac:dyDescent="0.3">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ht="14.25" customHeight="1" x14ac:dyDescent="0.3">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ht="14.25" customHeight="1" x14ac:dyDescent="0.3">
      <c r="A16" s="7"/>
      <c r="B16" s="7"/>
      <c r="C16" s="7"/>
      <c r="D16" s="7"/>
      <c r="E16" s="7"/>
      <c r="F16" s="7"/>
      <c r="G16" s="7"/>
      <c r="H16" s="7"/>
      <c r="I16" s="7"/>
      <c r="J16" s="7"/>
      <c r="K16" s="7"/>
      <c r="L16" s="7"/>
      <c r="M16" s="7"/>
      <c r="N16" s="7"/>
      <c r="O16" s="7"/>
      <c r="P16" s="7"/>
      <c r="Q16" s="7"/>
      <c r="R16" s="7"/>
      <c r="S16" s="7"/>
      <c r="T16" s="7"/>
      <c r="U16" s="7"/>
      <c r="V16" s="7"/>
      <c r="W16" s="7"/>
      <c r="X16" s="7"/>
      <c r="Y16" s="7"/>
      <c r="Z16" s="7"/>
    </row>
    <row r="17" spans="1:26" ht="14.25" customHeight="1" x14ac:dyDescent="0.3">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6" ht="14.25" customHeight="1" x14ac:dyDescent="0.3">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ht="14.25" customHeight="1" x14ac:dyDescent="0.3">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ht="14.25" customHeight="1" x14ac:dyDescent="0.3">
      <c r="A20" s="7"/>
      <c r="B20" s="7"/>
      <c r="C20" s="7"/>
      <c r="D20" s="7"/>
      <c r="E20" s="7"/>
      <c r="F20" s="7"/>
      <c r="G20" s="7"/>
      <c r="H20" s="7"/>
      <c r="I20" s="7"/>
      <c r="J20" s="7"/>
      <c r="K20" s="7"/>
      <c r="L20" s="7"/>
      <c r="M20" s="7"/>
      <c r="N20" s="7"/>
      <c r="O20" s="7"/>
      <c r="P20" s="7"/>
      <c r="Q20" s="7"/>
      <c r="R20" s="7"/>
      <c r="S20" s="7"/>
      <c r="T20" s="7"/>
      <c r="U20" s="7"/>
      <c r="V20" s="7"/>
      <c r="W20" s="7"/>
      <c r="X20" s="7"/>
      <c r="Y20" s="7"/>
      <c r="Z20" s="7"/>
    </row>
    <row r="21" spans="1:26" ht="14.25" customHeight="1" x14ac:dyDescent="0.3">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6" ht="14.25" customHeight="1" x14ac:dyDescent="0.3">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4.25" customHeight="1" x14ac:dyDescent="0.3">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4.25" customHeight="1" x14ac:dyDescent="0.3">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6" ht="14.25" customHeight="1" x14ac:dyDescent="0.3">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4.25" customHeight="1" x14ac:dyDescent="0.3">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4.25" customHeight="1" x14ac:dyDescent="0.3">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4.25" customHeight="1" x14ac:dyDescent="0.3">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4.25" customHeight="1" x14ac:dyDescent="0.3">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4.25" customHeight="1" x14ac:dyDescent="0.3">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4.25" customHeight="1" x14ac:dyDescent="0.3">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4.25" customHeight="1" x14ac:dyDescent="0.3">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4.25" customHeight="1" x14ac:dyDescent="0.3">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4.25" customHeight="1" x14ac:dyDescent="0.3">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4.25" customHeight="1" x14ac:dyDescent="0.3">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4.25" customHeight="1" x14ac:dyDescent="0.3">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4.25" customHeight="1" x14ac:dyDescent="0.3">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4.25" customHeight="1" x14ac:dyDescent="0.3">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4.25" customHeight="1" x14ac:dyDescent="0.3">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4.25" customHeight="1" x14ac:dyDescent="0.3">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4.25" customHeight="1" x14ac:dyDescent="0.3">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4.25" customHeight="1" x14ac:dyDescent="0.3">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4.25" customHeight="1" x14ac:dyDescent="0.3">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4.25" customHeight="1" x14ac:dyDescent="0.3">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4.25" customHeight="1" x14ac:dyDescent="0.3">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4.25" customHeight="1" x14ac:dyDescent="0.3">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4.25" customHeight="1" x14ac:dyDescent="0.3">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4.25" customHeight="1" x14ac:dyDescent="0.3">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4.25" customHeight="1" x14ac:dyDescent="0.3">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4.25" customHeight="1" x14ac:dyDescent="0.3">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4.25" customHeight="1" x14ac:dyDescent="0.3">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4.25" customHeight="1" x14ac:dyDescent="0.3">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4.25" customHeight="1" x14ac:dyDescent="0.3">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4.25" customHeight="1" x14ac:dyDescent="0.3">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4.25" customHeight="1" x14ac:dyDescent="0.3">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4.25" customHeight="1" x14ac:dyDescent="0.3">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4.25" customHeight="1" x14ac:dyDescent="0.3">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4.25" customHeight="1" x14ac:dyDescent="0.3">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4.25" customHeight="1" x14ac:dyDescent="0.3">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4.25" customHeight="1" x14ac:dyDescent="0.3">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4.25" customHeight="1" x14ac:dyDescent="0.3">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4.25" customHeight="1" x14ac:dyDescent="0.3">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4.25" customHeight="1" x14ac:dyDescent="0.3">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4.25" customHeight="1" x14ac:dyDescent="0.3">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4.25" customHeight="1" x14ac:dyDescent="0.3">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4.25" customHeight="1" x14ac:dyDescent="0.3">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4.25" customHeight="1" x14ac:dyDescent="0.3">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4.25" customHeight="1" x14ac:dyDescent="0.3">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4.25" customHeight="1" x14ac:dyDescent="0.3">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4.25" customHeight="1" x14ac:dyDescent="0.3">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4.25" customHeight="1" x14ac:dyDescent="0.3">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4.25" customHeight="1" x14ac:dyDescent="0.3">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4.25" customHeight="1" x14ac:dyDescent="0.3">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4.25" customHeight="1" x14ac:dyDescent="0.3">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4.25" customHeight="1" x14ac:dyDescent="0.3">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4.25" customHeight="1" x14ac:dyDescent="0.3">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4.25" customHeight="1" x14ac:dyDescent="0.3">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4.25" customHeight="1" x14ac:dyDescent="0.3">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4.25" customHeight="1" x14ac:dyDescent="0.3">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4.25" customHeight="1" x14ac:dyDescent="0.3">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4.25" customHeight="1" x14ac:dyDescent="0.3">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4.25" customHeight="1" x14ac:dyDescent="0.3">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4.25" customHeight="1" x14ac:dyDescent="0.3">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4.25" customHeight="1" x14ac:dyDescent="0.3">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4.25" customHeight="1" x14ac:dyDescent="0.3">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4.25" customHeight="1" x14ac:dyDescent="0.3">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4.25" customHeight="1" x14ac:dyDescent="0.3">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4.25" customHeight="1" x14ac:dyDescent="0.3">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4.25" customHeight="1" x14ac:dyDescent="0.3">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4.25" customHeight="1" x14ac:dyDescent="0.3">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4.25" customHeight="1" x14ac:dyDescent="0.3">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4.25" customHeight="1" x14ac:dyDescent="0.3">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4.25" customHeight="1" x14ac:dyDescent="0.3">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4.25" customHeight="1" x14ac:dyDescent="0.3">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4.25" customHeight="1" x14ac:dyDescent="0.3">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4.25" customHeight="1" x14ac:dyDescent="0.3">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4.25" customHeight="1" x14ac:dyDescent="0.3">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4.25" customHeight="1" x14ac:dyDescent="0.3">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4.25" customHeight="1" x14ac:dyDescent="0.3">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4.25" customHeight="1" x14ac:dyDescent="0.3">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4.25" customHeight="1" x14ac:dyDescent="0.3">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4.25" customHeight="1" x14ac:dyDescent="0.3">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4.25" customHeight="1" x14ac:dyDescent="0.3">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4.25" customHeight="1" x14ac:dyDescent="0.3">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4.25" customHeight="1" x14ac:dyDescent="0.3">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4.25" customHeight="1" x14ac:dyDescent="0.3">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4.25" customHeight="1" x14ac:dyDescent="0.3">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4.25" customHeight="1" x14ac:dyDescent="0.3">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4.25" customHeight="1" x14ac:dyDescent="0.3">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4.25" customHeight="1" x14ac:dyDescent="0.3">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4.25" customHeight="1" x14ac:dyDescent="0.3">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4.25" customHeight="1" x14ac:dyDescent="0.3">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4.25" customHeight="1" x14ac:dyDescent="0.3">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4.25" customHeight="1" x14ac:dyDescent="0.3">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4.25" customHeight="1" x14ac:dyDescent="0.3">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4.25" customHeight="1" x14ac:dyDescent="0.3">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4.25" customHeight="1" x14ac:dyDescent="0.3">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4.25" customHeight="1" x14ac:dyDescent="0.3">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4.25" customHeight="1" x14ac:dyDescent="0.3">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4.25" customHeight="1" x14ac:dyDescent="0.3">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4.25" customHeight="1" x14ac:dyDescent="0.3">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4.25" customHeight="1" x14ac:dyDescent="0.3">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4.25" customHeight="1" x14ac:dyDescent="0.3">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4.25" customHeight="1" x14ac:dyDescent="0.3">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4.25" customHeight="1" x14ac:dyDescent="0.3">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4.25" customHeight="1" x14ac:dyDescent="0.3">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4.25" customHeight="1" x14ac:dyDescent="0.3">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4.25" customHeight="1" x14ac:dyDescent="0.3">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4.25" customHeight="1" x14ac:dyDescent="0.3">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4.25" customHeight="1" x14ac:dyDescent="0.3">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4.25" customHeight="1" x14ac:dyDescent="0.3">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4.25" customHeight="1" x14ac:dyDescent="0.3">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4.25" customHeight="1" x14ac:dyDescent="0.3">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4.25" customHeight="1" x14ac:dyDescent="0.3">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4.25" customHeight="1" x14ac:dyDescent="0.3">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4.25" customHeight="1" x14ac:dyDescent="0.3">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4.25" customHeight="1" x14ac:dyDescent="0.3">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4.25" customHeight="1" x14ac:dyDescent="0.3">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4.25" customHeight="1" x14ac:dyDescent="0.3">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4.25" customHeight="1" x14ac:dyDescent="0.3">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4.25" customHeight="1" x14ac:dyDescent="0.3">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4.25" customHeight="1" x14ac:dyDescent="0.3">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4.25" customHeight="1" x14ac:dyDescent="0.3">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4.25" customHeight="1" x14ac:dyDescent="0.3">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4.25" customHeight="1" x14ac:dyDescent="0.3">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4.25" customHeight="1" x14ac:dyDescent="0.3">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4.25" customHeight="1" x14ac:dyDescent="0.3">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4.25" customHeight="1" x14ac:dyDescent="0.3">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4.25" customHeight="1" x14ac:dyDescent="0.3">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4.25" customHeight="1" x14ac:dyDescent="0.3">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4.25" customHeight="1" x14ac:dyDescent="0.3">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4.25" customHeight="1" x14ac:dyDescent="0.3">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4.25" customHeight="1" x14ac:dyDescent="0.3">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4.25" customHeight="1" x14ac:dyDescent="0.3">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4.25" customHeight="1" x14ac:dyDescent="0.3">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25" customHeight="1" x14ac:dyDescent="0.3">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4.25" customHeight="1" x14ac:dyDescent="0.3">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4.25" customHeight="1" x14ac:dyDescent="0.3">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4.25" customHeight="1" x14ac:dyDescent="0.3">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4.25" customHeight="1" x14ac:dyDescent="0.3">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4.25" customHeight="1" x14ac:dyDescent="0.3">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4.25" customHeight="1" x14ac:dyDescent="0.3">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4.25" customHeight="1" x14ac:dyDescent="0.3">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4.25" customHeight="1" x14ac:dyDescent="0.3">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4.25" customHeight="1" x14ac:dyDescent="0.3">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4.25" customHeight="1" x14ac:dyDescent="0.3">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4.25" customHeight="1" x14ac:dyDescent="0.3">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4.25" customHeight="1" x14ac:dyDescent="0.3">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4.25" customHeight="1" x14ac:dyDescent="0.3">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4.25" customHeight="1" x14ac:dyDescent="0.3">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4.25" customHeight="1" x14ac:dyDescent="0.3">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4.25" customHeight="1" x14ac:dyDescent="0.3">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4.25" customHeight="1" x14ac:dyDescent="0.3">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4.25" customHeight="1" x14ac:dyDescent="0.3">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4.25" customHeight="1" x14ac:dyDescent="0.3">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4.25" customHeight="1" x14ac:dyDescent="0.3">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4.25" customHeight="1" x14ac:dyDescent="0.3">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4.25" customHeight="1" x14ac:dyDescent="0.3">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4.25" customHeight="1" x14ac:dyDescent="0.3">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4.25" customHeight="1" x14ac:dyDescent="0.3">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4.25" customHeight="1" x14ac:dyDescent="0.3">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4.25" customHeight="1" x14ac:dyDescent="0.3">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4.25" customHeight="1" x14ac:dyDescent="0.3">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4.25" customHeight="1" x14ac:dyDescent="0.3">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4.25" customHeight="1" x14ac:dyDescent="0.3">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4.25" customHeight="1" x14ac:dyDescent="0.3">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4.25" customHeight="1" x14ac:dyDescent="0.3">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4.25" customHeight="1" x14ac:dyDescent="0.3">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4.25" customHeight="1" x14ac:dyDescent="0.3">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4.25" customHeight="1" x14ac:dyDescent="0.3">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4.25" customHeight="1" x14ac:dyDescent="0.3">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4.25" customHeight="1" x14ac:dyDescent="0.3">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4.25" customHeight="1" x14ac:dyDescent="0.3">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4.25" customHeight="1" x14ac:dyDescent="0.3">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4.25" customHeight="1" x14ac:dyDescent="0.3">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4.25" customHeight="1" x14ac:dyDescent="0.3">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4.25" customHeight="1" x14ac:dyDescent="0.3">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4.25" customHeight="1" x14ac:dyDescent="0.3">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4.25" customHeight="1" x14ac:dyDescent="0.3">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4.25" customHeight="1" x14ac:dyDescent="0.3">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4.25" customHeight="1" x14ac:dyDescent="0.3">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4.25" customHeight="1" x14ac:dyDescent="0.3">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4.25" customHeight="1" x14ac:dyDescent="0.3">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4.25" customHeight="1" x14ac:dyDescent="0.3">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4.25" customHeight="1" x14ac:dyDescent="0.3">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4.25" customHeight="1" x14ac:dyDescent="0.3">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4.25" customHeight="1" x14ac:dyDescent="0.3">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4.25" customHeight="1" x14ac:dyDescent="0.3">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4.25" customHeight="1" x14ac:dyDescent="0.3">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4.25" customHeight="1" x14ac:dyDescent="0.3">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4.25" customHeight="1" x14ac:dyDescent="0.3">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4.25" customHeight="1" x14ac:dyDescent="0.3">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4.25" customHeight="1" x14ac:dyDescent="0.3">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4.25" customHeight="1" x14ac:dyDescent="0.3">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4.25" customHeight="1" x14ac:dyDescent="0.3">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4.25" customHeight="1" x14ac:dyDescent="0.3">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4.25" customHeight="1" x14ac:dyDescent="0.3">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4.25" customHeight="1" x14ac:dyDescent="0.3">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4.25" customHeight="1" x14ac:dyDescent="0.3">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4.25" customHeight="1" x14ac:dyDescent="0.3">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4.25" customHeight="1" x14ac:dyDescent="0.3">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4.25" customHeight="1" x14ac:dyDescent="0.3">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4.25" customHeight="1" x14ac:dyDescent="0.3">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4.25" customHeight="1" x14ac:dyDescent="0.3">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4.25" customHeight="1" x14ac:dyDescent="0.3">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4.25" customHeight="1" x14ac:dyDescent="0.3">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4.25" customHeight="1" x14ac:dyDescent="0.3">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4.25" customHeight="1" x14ac:dyDescent="0.3">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4.25" customHeight="1" x14ac:dyDescent="0.3">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4.25" customHeight="1" x14ac:dyDescent="0.3">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4.25" customHeight="1" x14ac:dyDescent="0.3">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4.25" customHeight="1" x14ac:dyDescent="0.3">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4.25" customHeight="1" x14ac:dyDescent="0.3">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4.25" customHeight="1" x14ac:dyDescent="0.3">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4.25" customHeight="1" x14ac:dyDescent="0.3">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4.25" customHeight="1" x14ac:dyDescent="0.3">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4.25" customHeight="1" x14ac:dyDescent="0.3">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4.25" customHeight="1" x14ac:dyDescent="0.3">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4.25" customHeight="1" x14ac:dyDescent="0.3">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4.25" customHeight="1" x14ac:dyDescent="0.3">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4.25" customHeight="1" x14ac:dyDescent="0.3">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4.25" customHeight="1" x14ac:dyDescent="0.3">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4.25" customHeight="1" x14ac:dyDescent="0.3">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4.25" customHeight="1" x14ac:dyDescent="0.3">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4.25" customHeight="1" x14ac:dyDescent="0.3">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4.25" customHeight="1" x14ac:dyDescent="0.3">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4.25" customHeight="1" x14ac:dyDescent="0.3">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4.25" customHeight="1" x14ac:dyDescent="0.3">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4.25" customHeight="1" x14ac:dyDescent="0.3">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4.25" customHeight="1" x14ac:dyDescent="0.3">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4.25" customHeight="1" x14ac:dyDescent="0.3">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4.25" customHeight="1" x14ac:dyDescent="0.3">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4.25" customHeight="1" x14ac:dyDescent="0.3">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4.25" customHeight="1" x14ac:dyDescent="0.3">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4.25" customHeight="1" x14ac:dyDescent="0.3">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4.25" customHeight="1" x14ac:dyDescent="0.3">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4.25" customHeight="1" x14ac:dyDescent="0.3">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4.25" customHeight="1" x14ac:dyDescent="0.3">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4.25" customHeight="1" x14ac:dyDescent="0.3">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4.25" customHeight="1" x14ac:dyDescent="0.3">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4.25" customHeight="1" x14ac:dyDescent="0.3">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4.25" customHeight="1" x14ac:dyDescent="0.3">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4.25" customHeight="1" x14ac:dyDescent="0.3">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4.25" customHeight="1" x14ac:dyDescent="0.3">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4.25" customHeight="1" x14ac:dyDescent="0.3">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4.25" customHeight="1" x14ac:dyDescent="0.3">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4.25" customHeight="1" x14ac:dyDescent="0.3">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4.25" customHeight="1" x14ac:dyDescent="0.3">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4.25" customHeight="1" x14ac:dyDescent="0.3">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4.25" customHeight="1" x14ac:dyDescent="0.3">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4.25" customHeight="1" x14ac:dyDescent="0.3">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4.25" customHeight="1" x14ac:dyDescent="0.3">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4.25" customHeight="1" x14ac:dyDescent="0.3">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4.25" customHeight="1" x14ac:dyDescent="0.3">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4.25" customHeight="1" x14ac:dyDescent="0.3">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4.25" customHeight="1" x14ac:dyDescent="0.3">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4.25" customHeight="1" x14ac:dyDescent="0.3">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4.25" customHeight="1" x14ac:dyDescent="0.3">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4.25" customHeight="1" x14ac:dyDescent="0.3">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4.25" customHeight="1" x14ac:dyDescent="0.3">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4.25" customHeight="1" x14ac:dyDescent="0.3">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4.25" customHeight="1" x14ac:dyDescent="0.3">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4.25" customHeight="1" x14ac:dyDescent="0.3">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4.25" customHeight="1" x14ac:dyDescent="0.3">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4.25" customHeight="1" x14ac:dyDescent="0.3">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4.25" customHeight="1" x14ac:dyDescent="0.3">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4.25" customHeight="1" x14ac:dyDescent="0.3">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4.25" customHeight="1" x14ac:dyDescent="0.3">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4.25" customHeight="1" x14ac:dyDescent="0.3">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4.25" customHeight="1" x14ac:dyDescent="0.3">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4.25" customHeight="1" x14ac:dyDescent="0.3">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4.25" customHeight="1" x14ac:dyDescent="0.3">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4.25" customHeight="1" x14ac:dyDescent="0.3">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4.25" customHeight="1" x14ac:dyDescent="0.3">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4.25" customHeight="1" x14ac:dyDescent="0.3">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4.25" customHeight="1" x14ac:dyDescent="0.3">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4.25" customHeight="1" x14ac:dyDescent="0.3">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4.25" customHeight="1" x14ac:dyDescent="0.3">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4.25" customHeight="1" x14ac:dyDescent="0.3">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4.25" customHeight="1" x14ac:dyDescent="0.3">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4.25" customHeight="1" x14ac:dyDescent="0.3">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4.25" customHeight="1" x14ac:dyDescent="0.3">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4.25" customHeight="1" x14ac:dyDescent="0.3">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4.25" customHeight="1" x14ac:dyDescent="0.3">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4.25" customHeight="1" x14ac:dyDescent="0.3">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4.25" customHeight="1" x14ac:dyDescent="0.3">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4.25" customHeight="1" x14ac:dyDescent="0.3">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4.25" customHeight="1" x14ac:dyDescent="0.3">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4.25" customHeight="1" x14ac:dyDescent="0.3">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4.25" customHeight="1" x14ac:dyDescent="0.3">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4.25" customHeight="1" x14ac:dyDescent="0.3">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4.25" customHeight="1" x14ac:dyDescent="0.3">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4.25" customHeight="1" x14ac:dyDescent="0.3">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4.25" customHeight="1" x14ac:dyDescent="0.3">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4.25" customHeight="1" x14ac:dyDescent="0.3">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4.25" customHeight="1" x14ac:dyDescent="0.3">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4.25" customHeight="1" x14ac:dyDescent="0.3">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4.25" customHeight="1" x14ac:dyDescent="0.3">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4.25" customHeight="1" x14ac:dyDescent="0.3">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4.25" customHeight="1" x14ac:dyDescent="0.3">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4.25" customHeight="1" x14ac:dyDescent="0.3">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4.25" customHeight="1" x14ac:dyDescent="0.3">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4.25" customHeight="1" x14ac:dyDescent="0.3">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4.25" customHeight="1" x14ac:dyDescent="0.3">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4.25" customHeight="1" x14ac:dyDescent="0.3">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4.25" customHeight="1" x14ac:dyDescent="0.3">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4.25" customHeight="1" x14ac:dyDescent="0.3">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4.25" customHeight="1" x14ac:dyDescent="0.3">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4.25" customHeight="1" x14ac:dyDescent="0.3">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4.25" customHeight="1" x14ac:dyDescent="0.3">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4.25" customHeight="1" x14ac:dyDescent="0.3">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4.25" customHeight="1" x14ac:dyDescent="0.3">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4.25" customHeight="1" x14ac:dyDescent="0.3">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4.25" customHeight="1" x14ac:dyDescent="0.3">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4.25" customHeight="1" x14ac:dyDescent="0.3">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4.25" customHeight="1" x14ac:dyDescent="0.3">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4.25" customHeight="1" x14ac:dyDescent="0.3">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4.25" customHeight="1" x14ac:dyDescent="0.3">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4.25" customHeight="1" x14ac:dyDescent="0.3">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4.25" customHeight="1" x14ac:dyDescent="0.3">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4.25" customHeight="1" x14ac:dyDescent="0.3">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4.25" customHeight="1" x14ac:dyDescent="0.3">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4.25" customHeight="1" x14ac:dyDescent="0.3">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4.25" customHeight="1" x14ac:dyDescent="0.3">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4.25" customHeight="1" x14ac:dyDescent="0.3">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4.25" customHeight="1" x14ac:dyDescent="0.3">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4.25" customHeight="1" x14ac:dyDescent="0.3">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4.25" customHeight="1" x14ac:dyDescent="0.3">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4.25" customHeight="1" x14ac:dyDescent="0.3">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4.25" customHeight="1" x14ac:dyDescent="0.3">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4.25" customHeight="1" x14ac:dyDescent="0.3">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4.25" customHeight="1" x14ac:dyDescent="0.3">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4.25" customHeight="1" x14ac:dyDescent="0.3">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4.25" customHeight="1" x14ac:dyDescent="0.3">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4.25" customHeight="1" x14ac:dyDescent="0.3">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4.25" customHeight="1" x14ac:dyDescent="0.3">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4.25" customHeight="1" x14ac:dyDescent="0.3">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4.25" customHeight="1" x14ac:dyDescent="0.3">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4.25" customHeight="1" x14ac:dyDescent="0.3">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4.25" customHeight="1" x14ac:dyDescent="0.3">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4.25" customHeight="1" x14ac:dyDescent="0.3">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4.25" customHeight="1" x14ac:dyDescent="0.3">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4.25" customHeight="1" x14ac:dyDescent="0.3">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4.25" customHeight="1" x14ac:dyDescent="0.3">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4.25" customHeight="1" x14ac:dyDescent="0.3">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4.25" customHeight="1" x14ac:dyDescent="0.3">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4.25" customHeight="1" x14ac:dyDescent="0.3">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4.25" customHeight="1" x14ac:dyDescent="0.3">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4.25" customHeight="1" x14ac:dyDescent="0.3">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4.25" customHeight="1" x14ac:dyDescent="0.3">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4.25" customHeight="1" x14ac:dyDescent="0.3">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4.25" customHeight="1" x14ac:dyDescent="0.3">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4.25" customHeight="1" x14ac:dyDescent="0.3">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4.25" customHeight="1" x14ac:dyDescent="0.3">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4.25" customHeight="1" x14ac:dyDescent="0.3">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4.25" customHeight="1" x14ac:dyDescent="0.3">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4.25" customHeight="1" x14ac:dyDescent="0.3">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4.25" customHeight="1" x14ac:dyDescent="0.3">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4.25" customHeight="1" x14ac:dyDescent="0.3">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4.25" customHeight="1" x14ac:dyDescent="0.3">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4.25" customHeight="1" x14ac:dyDescent="0.3">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4.25" customHeight="1" x14ac:dyDescent="0.3">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4.25" customHeight="1" x14ac:dyDescent="0.3">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4.25" customHeight="1" x14ac:dyDescent="0.3">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4.25" customHeight="1" x14ac:dyDescent="0.3">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4.25" customHeight="1" x14ac:dyDescent="0.3">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4.25" customHeight="1" x14ac:dyDescent="0.3">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4.25" customHeight="1" x14ac:dyDescent="0.3">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4.25" customHeight="1" x14ac:dyDescent="0.3">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4.25" customHeight="1" x14ac:dyDescent="0.3">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4.25" customHeight="1" x14ac:dyDescent="0.3">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4.25" customHeight="1" x14ac:dyDescent="0.3">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4.25" customHeight="1" x14ac:dyDescent="0.3">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4.25" customHeight="1" x14ac:dyDescent="0.3">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4.25" customHeight="1" x14ac:dyDescent="0.3">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4.25" customHeight="1" x14ac:dyDescent="0.3">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4.25" customHeight="1" x14ac:dyDescent="0.3">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4.25" customHeight="1" x14ac:dyDescent="0.3">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4.25" customHeight="1" x14ac:dyDescent="0.3">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4.25" customHeight="1" x14ac:dyDescent="0.3">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4.25" customHeight="1" x14ac:dyDescent="0.3">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4.25" customHeight="1" x14ac:dyDescent="0.3">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4.25" customHeight="1" x14ac:dyDescent="0.3">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4.25" customHeight="1" x14ac:dyDescent="0.3">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4.25" customHeight="1" x14ac:dyDescent="0.3">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4.25" customHeight="1" x14ac:dyDescent="0.3">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4.25" customHeight="1" x14ac:dyDescent="0.3">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4.25" customHeight="1" x14ac:dyDescent="0.3">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4.25" customHeight="1" x14ac:dyDescent="0.3">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4.25" customHeight="1" x14ac:dyDescent="0.3">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4.25" customHeight="1" x14ac:dyDescent="0.3">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4.25" customHeight="1" x14ac:dyDescent="0.3">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4.25" customHeight="1" x14ac:dyDescent="0.3">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4.25" customHeight="1" x14ac:dyDescent="0.3">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4.25" customHeight="1" x14ac:dyDescent="0.3">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4.25" customHeight="1" x14ac:dyDescent="0.3">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4.25" customHeight="1" x14ac:dyDescent="0.3">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4.25" customHeight="1" x14ac:dyDescent="0.3">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4.25" customHeight="1" x14ac:dyDescent="0.3">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4.25" customHeight="1" x14ac:dyDescent="0.3">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4.25" customHeight="1" x14ac:dyDescent="0.3">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4.25" customHeight="1" x14ac:dyDescent="0.3">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4.25" customHeight="1" x14ac:dyDescent="0.3">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4.25" customHeight="1" x14ac:dyDescent="0.3">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4.25" customHeight="1" x14ac:dyDescent="0.3">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4.25" customHeight="1" x14ac:dyDescent="0.3">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4.25" customHeight="1" x14ac:dyDescent="0.3">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4.25" customHeight="1" x14ac:dyDescent="0.3">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4.25" customHeight="1" x14ac:dyDescent="0.3">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4.25" customHeight="1" x14ac:dyDescent="0.3">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4.25" customHeight="1" x14ac:dyDescent="0.3">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4.25" customHeight="1" x14ac:dyDescent="0.3">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4.25" customHeight="1" x14ac:dyDescent="0.3">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4.25" customHeight="1" x14ac:dyDescent="0.3">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4.25" customHeight="1" x14ac:dyDescent="0.3">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4.25" customHeight="1" x14ac:dyDescent="0.3">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4.25" customHeight="1" x14ac:dyDescent="0.3">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4.25" customHeight="1" x14ac:dyDescent="0.3">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4.25" customHeight="1" x14ac:dyDescent="0.3">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4.25" customHeight="1" x14ac:dyDescent="0.3">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4.25" customHeight="1" x14ac:dyDescent="0.3">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4.25" customHeight="1" x14ac:dyDescent="0.3">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4.25" customHeight="1" x14ac:dyDescent="0.3">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4.25" customHeight="1" x14ac:dyDescent="0.3">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4.25" customHeight="1" x14ac:dyDescent="0.3">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4.25" customHeight="1" x14ac:dyDescent="0.3">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4.25" customHeight="1" x14ac:dyDescent="0.3">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4.25" customHeight="1" x14ac:dyDescent="0.3">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4.25" customHeight="1" x14ac:dyDescent="0.3">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4.25" customHeight="1" x14ac:dyDescent="0.3">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4.25" customHeight="1" x14ac:dyDescent="0.3">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4.25" customHeight="1" x14ac:dyDescent="0.3">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4.25" customHeight="1" x14ac:dyDescent="0.3">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4.25" customHeight="1" x14ac:dyDescent="0.3">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4.25" customHeight="1" x14ac:dyDescent="0.3">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4.25" customHeight="1" x14ac:dyDescent="0.3">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4.25" customHeight="1" x14ac:dyDescent="0.3">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4.25" customHeight="1" x14ac:dyDescent="0.3">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4.25" customHeight="1" x14ac:dyDescent="0.3">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4.25" customHeight="1" x14ac:dyDescent="0.3">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4.25" customHeight="1" x14ac:dyDescent="0.3">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4.25" customHeight="1" x14ac:dyDescent="0.3">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4.25" customHeight="1" x14ac:dyDescent="0.3">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4.25" customHeight="1" x14ac:dyDescent="0.3">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4.25" customHeight="1" x14ac:dyDescent="0.3">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4.25" customHeight="1" x14ac:dyDescent="0.3">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4.25" customHeight="1" x14ac:dyDescent="0.3">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4.25" customHeight="1" x14ac:dyDescent="0.3">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4.25" customHeight="1" x14ac:dyDescent="0.3">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4.25" customHeight="1" x14ac:dyDescent="0.3">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4.25" customHeight="1" x14ac:dyDescent="0.3">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4.25" customHeight="1" x14ac:dyDescent="0.3">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4.25" customHeight="1" x14ac:dyDescent="0.3">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4.25" customHeight="1" x14ac:dyDescent="0.3">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4.25" customHeight="1" x14ac:dyDescent="0.3">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4.25" customHeight="1" x14ac:dyDescent="0.3">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4.25" customHeight="1" x14ac:dyDescent="0.3">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4.25" customHeight="1" x14ac:dyDescent="0.3">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4.25" customHeight="1" x14ac:dyDescent="0.3">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4.25" customHeight="1" x14ac:dyDescent="0.3">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4.25" customHeight="1" x14ac:dyDescent="0.3">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4.25" customHeight="1" x14ac:dyDescent="0.3">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4.25" customHeight="1" x14ac:dyDescent="0.3">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4.25" customHeight="1" x14ac:dyDescent="0.3">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4.25" customHeight="1" x14ac:dyDescent="0.3">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4.25" customHeight="1" x14ac:dyDescent="0.3">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4.25" customHeight="1" x14ac:dyDescent="0.3">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4.25" customHeight="1" x14ac:dyDescent="0.3">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4.25" customHeight="1" x14ac:dyDescent="0.3">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4.25" customHeight="1" x14ac:dyDescent="0.3">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4.25" customHeight="1" x14ac:dyDescent="0.3">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4.25" customHeight="1" x14ac:dyDescent="0.3">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4.25" customHeight="1" x14ac:dyDescent="0.3">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4.25" customHeight="1" x14ac:dyDescent="0.3">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4.25" customHeight="1" x14ac:dyDescent="0.3">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4.25" customHeight="1" x14ac:dyDescent="0.3">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4.25" customHeight="1" x14ac:dyDescent="0.3">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4.25" customHeight="1" x14ac:dyDescent="0.3">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4.25" customHeight="1" x14ac:dyDescent="0.3">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4.25" customHeight="1" x14ac:dyDescent="0.3">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4.25" customHeight="1" x14ac:dyDescent="0.3">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4.25" customHeight="1" x14ac:dyDescent="0.3">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4.25" customHeight="1" x14ac:dyDescent="0.3">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4.25" customHeight="1" x14ac:dyDescent="0.3">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4.25" customHeight="1" x14ac:dyDescent="0.3">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4.25" customHeight="1" x14ac:dyDescent="0.3">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4.25" customHeight="1" x14ac:dyDescent="0.3">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4.25" customHeight="1" x14ac:dyDescent="0.3">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4.25" customHeight="1" x14ac:dyDescent="0.3">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4.25" customHeight="1" x14ac:dyDescent="0.3">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4.25" customHeight="1" x14ac:dyDescent="0.3">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4.25" customHeight="1" x14ac:dyDescent="0.3">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4.25" customHeight="1" x14ac:dyDescent="0.3">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4.25" customHeight="1" x14ac:dyDescent="0.3">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4.25" customHeight="1" x14ac:dyDescent="0.3">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4.25" customHeight="1" x14ac:dyDescent="0.3">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4.25" customHeight="1" x14ac:dyDescent="0.3">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4.25" customHeight="1" x14ac:dyDescent="0.3">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4.25" customHeight="1" x14ac:dyDescent="0.3">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4.25" customHeight="1" x14ac:dyDescent="0.3">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4.25" customHeight="1" x14ac:dyDescent="0.3">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4.25" customHeight="1" x14ac:dyDescent="0.3">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4.25" customHeight="1" x14ac:dyDescent="0.3">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4.25" customHeight="1" x14ac:dyDescent="0.3">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4.25" customHeight="1" x14ac:dyDescent="0.3">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4.25" customHeight="1" x14ac:dyDescent="0.3">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4.25" customHeight="1" x14ac:dyDescent="0.3">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4.25" customHeight="1" x14ac:dyDescent="0.3">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4.25" customHeight="1" x14ac:dyDescent="0.3">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4.25" customHeight="1" x14ac:dyDescent="0.3">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4.25" customHeight="1" x14ac:dyDescent="0.3">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4.25" customHeight="1" x14ac:dyDescent="0.3">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4.25" customHeight="1" x14ac:dyDescent="0.3">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4.25" customHeight="1" x14ac:dyDescent="0.3">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4.25" customHeight="1" x14ac:dyDescent="0.3">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4.25" customHeight="1" x14ac:dyDescent="0.3">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4.25" customHeight="1" x14ac:dyDescent="0.3">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4.25" customHeight="1" x14ac:dyDescent="0.3">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4.25" customHeight="1" x14ac:dyDescent="0.3">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4.25" customHeight="1" x14ac:dyDescent="0.3">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4.25" customHeight="1" x14ac:dyDescent="0.3">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4.25" customHeight="1" x14ac:dyDescent="0.3">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4.25" customHeight="1" x14ac:dyDescent="0.3">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4.25" customHeight="1" x14ac:dyDescent="0.3">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4.25" customHeight="1" x14ac:dyDescent="0.3">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4.25" customHeight="1" x14ac:dyDescent="0.3">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4.25" customHeight="1" x14ac:dyDescent="0.3">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4.25" customHeight="1" x14ac:dyDescent="0.3">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4.25" customHeight="1" x14ac:dyDescent="0.3">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4.25" customHeight="1" x14ac:dyDescent="0.3">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4.25" customHeight="1" x14ac:dyDescent="0.3">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4.25" customHeight="1" x14ac:dyDescent="0.3">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4.25" customHeight="1" x14ac:dyDescent="0.3">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4.25" customHeight="1" x14ac:dyDescent="0.3">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4.25" customHeight="1" x14ac:dyDescent="0.3">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4.25" customHeight="1" x14ac:dyDescent="0.3">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4.25" customHeight="1" x14ac:dyDescent="0.3">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4.25" customHeight="1" x14ac:dyDescent="0.3">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4.25" customHeight="1" x14ac:dyDescent="0.3">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4.25" customHeight="1" x14ac:dyDescent="0.3">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4.25" customHeight="1" x14ac:dyDescent="0.3">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4.25" customHeight="1" x14ac:dyDescent="0.3">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4.25" customHeight="1" x14ac:dyDescent="0.3">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4.25" customHeight="1" x14ac:dyDescent="0.3">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4.25" customHeight="1" x14ac:dyDescent="0.3">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4.25" customHeight="1" x14ac:dyDescent="0.3">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4.25" customHeight="1" x14ac:dyDescent="0.3">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4.25" customHeight="1" x14ac:dyDescent="0.3">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4.25" customHeight="1" x14ac:dyDescent="0.3">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4.25" customHeight="1" x14ac:dyDescent="0.3">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4.25" customHeight="1" x14ac:dyDescent="0.3">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4.25" customHeight="1" x14ac:dyDescent="0.3">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4.25" customHeight="1" x14ac:dyDescent="0.3">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4.25" customHeight="1" x14ac:dyDescent="0.3">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4.25" customHeight="1" x14ac:dyDescent="0.3">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4.25" customHeight="1" x14ac:dyDescent="0.3">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4.25" customHeight="1" x14ac:dyDescent="0.3">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4.25" customHeight="1" x14ac:dyDescent="0.3">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4.25" customHeight="1" x14ac:dyDescent="0.3">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4.25" customHeight="1" x14ac:dyDescent="0.3">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4.25" customHeight="1" x14ac:dyDescent="0.3">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4.25" customHeight="1" x14ac:dyDescent="0.3">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4.25" customHeight="1" x14ac:dyDescent="0.3">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4.25" customHeight="1" x14ac:dyDescent="0.3">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4.25" customHeight="1" x14ac:dyDescent="0.3">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4.25" customHeight="1" x14ac:dyDescent="0.3">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4.25" customHeight="1" x14ac:dyDescent="0.3">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4.25" customHeight="1" x14ac:dyDescent="0.3">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4.25" customHeight="1" x14ac:dyDescent="0.3">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4.25" customHeight="1" x14ac:dyDescent="0.3">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4.25" customHeight="1" x14ac:dyDescent="0.3">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4.25" customHeight="1" x14ac:dyDescent="0.3">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4.25" customHeight="1" x14ac:dyDescent="0.3">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4.25" customHeight="1" x14ac:dyDescent="0.3">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4.25" customHeight="1" x14ac:dyDescent="0.3">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4.25" customHeight="1" x14ac:dyDescent="0.3">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4.25" customHeight="1" x14ac:dyDescent="0.3">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4.25" customHeight="1" x14ac:dyDescent="0.3">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4.25" customHeight="1" x14ac:dyDescent="0.3">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4.25" customHeight="1" x14ac:dyDescent="0.3">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4.25" customHeight="1" x14ac:dyDescent="0.3">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4.25" customHeight="1" x14ac:dyDescent="0.3">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4.25" customHeight="1" x14ac:dyDescent="0.3">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4.25" customHeight="1" x14ac:dyDescent="0.3">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4.25" customHeight="1" x14ac:dyDescent="0.3">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4.25" customHeight="1" x14ac:dyDescent="0.3">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4.25" customHeight="1" x14ac:dyDescent="0.3">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4.25" customHeight="1" x14ac:dyDescent="0.3">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4.25" customHeight="1" x14ac:dyDescent="0.3">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4.25" customHeight="1" x14ac:dyDescent="0.3">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4.25" customHeight="1" x14ac:dyDescent="0.3">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4.25" customHeight="1" x14ac:dyDescent="0.3">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4.25" customHeight="1" x14ac:dyDescent="0.3">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4.25" customHeight="1" x14ac:dyDescent="0.3">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4.25" customHeight="1" x14ac:dyDescent="0.3">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4.25" customHeight="1" x14ac:dyDescent="0.3">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4.25" customHeight="1" x14ac:dyDescent="0.3">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4.25" customHeight="1" x14ac:dyDescent="0.3">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4.25" customHeight="1" x14ac:dyDescent="0.3">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4.25" customHeight="1" x14ac:dyDescent="0.3">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4.25" customHeight="1" x14ac:dyDescent="0.3">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4.25" customHeight="1" x14ac:dyDescent="0.3">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4.25" customHeight="1" x14ac:dyDescent="0.3">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4.25" customHeight="1" x14ac:dyDescent="0.3">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4.25" customHeight="1" x14ac:dyDescent="0.3">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4.25" customHeight="1" x14ac:dyDescent="0.3">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4.25" customHeight="1" x14ac:dyDescent="0.3">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4.25" customHeight="1" x14ac:dyDescent="0.3">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4.25" customHeight="1" x14ac:dyDescent="0.3">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4.25" customHeight="1" x14ac:dyDescent="0.3">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4.25" customHeight="1" x14ac:dyDescent="0.3">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4.25" customHeight="1" x14ac:dyDescent="0.3">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4.25" customHeight="1" x14ac:dyDescent="0.3">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4.25" customHeight="1" x14ac:dyDescent="0.3">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4.25" customHeight="1" x14ac:dyDescent="0.3">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4.25" customHeight="1" x14ac:dyDescent="0.3">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4.25" customHeight="1" x14ac:dyDescent="0.3">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4.25" customHeight="1" x14ac:dyDescent="0.3">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4.25" customHeight="1" x14ac:dyDescent="0.3">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4.25" customHeight="1" x14ac:dyDescent="0.3">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4.25" customHeight="1" x14ac:dyDescent="0.3">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4.25" customHeight="1" x14ac:dyDescent="0.3">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4.25" customHeight="1" x14ac:dyDescent="0.3">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4.25" customHeight="1" x14ac:dyDescent="0.3">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4.25" customHeight="1" x14ac:dyDescent="0.3">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4.25" customHeight="1" x14ac:dyDescent="0.3">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4.25" customHeight="1" x14ac:dyDescent="0.3">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4.25" customHeight="1" x14ac:dyDescent="0.3">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4.25" customHeight="1" x14ac:dyDescent="0.3">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4.25" customHeight="1" x14ac:dyDescent="0.3">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4.25" customHeight="1" x14ac:dyDescent="0.3">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4.25" customHeight="1" x14ac:dyDescent="0.3">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4.25" customHeight="1" x14ac:dyDescent="0.3">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4.25" customHeight="1" x14ac:dyDescent="0.3">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4.25" customHeight="1" x14ac:dyDescent="0.3">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4.25" customHeight="1" x14ac:dyDescent="0.3">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4.25" customHeight="1" x14ac:dyDescent="0.3">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4.25" customHeight="1" x14ac:dyDescent="0.3">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4.25" customHeight="1" x14ac:dyDescent="0.3">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4.25" customHeight="1" x14ac:dyDescent="0.3">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4.25" customHeight="1" x14ac:dyDescent="0.3">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4.25" customHeight="1" x14ac:dyDescent="0.3">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4.25" customHeight="1" x14ac:dyDescent="0.3">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4.25" customHeight="1" x14ac:dyDescent="0.3">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4.25" customHeight="1" x14ac:dyDescent="0.3">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4.25" customHeight="1" x14ac:dyDescent="0.3">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4.25" customHeight="1" x14ac:dyDescent="0.3">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4.25" customHeight="1" x14ac:dyDescent="0.3">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4.25" customHeight="1" x14ac:dyDescent="0.3">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4.25" customHeight="1" x14ac:dyDescent="0.3">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4.25" customHeight="1" x14ac:dyDescent="0.3">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4.25" customHeight="1" x14ac:dyDescent="0.3">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4.25" customHeight="1" x14ac:dyDescent="0.3">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4.25" customHeight="1" x14ac:dyDescent="0.3">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4.25" customHeight="1" x14ac:dyDescent="0.3">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4.25" customHeight="1" x14ac:dyDescent="0.3">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4.25" customHeight="1" x14ac:dyDescent="0.3">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4.25" customHeight="1" x14ac:dyDescent="0.3">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4.25" customHeight="1" x14ac:dyDescent="0.3">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4.25" customHeight="1" x14ac:dyDescent="0.3">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4.25" customHeight="1" x14ac:dyDescent="0.3">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4.25" customHeight="1" x14ac:dyDescent="0.3">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4.25" customHeight="1" x14ac:dyDescent="0.3">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4.25" customHeight="1" x14ac:dyDescent="0.3">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4.25" customHeight="1" x14ac:dyDescent="0.3">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4.25" customHeight="1" x14ac:dyDescent="0.3">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4.25" customHeight="1" x14ac:dyDescent="0.3">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4.25" customHeight="1" x14ac:dyDescent="0.3">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4.25" customHeight="1" x14ac:dyDescent="0.3">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4.25" customHeight="1" x14ac:dyDescent="0.3">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4.25" customHeight="1" x14ac:dyDescent="0.3">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4.25" customHeight="1" x14ac:dyDescent="0.3">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4.25" customHeight="1" x14ac:dyDescent="0.3">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4.25" customHeight="1" x14ac:dyDescent="0.3">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4.25" customHeight="1" x14ac:dyDescent="0.3">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4.25" customHeight="1" x14ac:dyDescent="0.3">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4.25" customHeight="1" x14ac:dyDescent="0.3">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4.25" customHeight="1" x14ac:dyDescent="0.3">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4.25" customHeight="1" x14ac:dyDescent="0.3">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4.25" customHeight="1" x14ac:dyDescent="0.3">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4.25" customHeight="1" x14ac:dyDescent="0.3">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4.25" customHeight="1" x14ac:dyDescent="0.3">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4.25" customHeight="1" x14ac:dyDescent="0.3">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4.25" customHeight="1" x14ac:dyDescent="0.3">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4.25" customHeight="1" x14ac:dyDescent="0.3">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4.25" customHeight="1" x14ac:dyDescent="0.3">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4.25" customHeight="1" x14ac:dyDescent="0.3">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4.25" customHeight="1" x14ac:dyDescent="0.3">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4.25" customHeight="1" x14ac:dyDescent="0.3">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4.25" customHeight="1" x14ac:dyDescent="0.3">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4.25" customHeight="1" x14ac:dyDescent="0.3">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4.25" customHeight="1" x14ac:dyDescent="0.3">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4.25" customHeight="1" x14ac:dyDescent="0.3">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4.25" customHeight="1" x14ac:dyDescent="0.3">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4.25" customHeight="1" x14ac:dyDescent="0.3">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4.25" customHeight="1" x14ac:dyDescent="0.3">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4.25" customHeight="1" x14ac:dyDescent="0.3">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4.25" customHeight="1" x14ac:dyDescent="0.3">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4.25" customHeight="1" x14ac:dyDescent="0.3">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4.25" customHeight="1" x14ac:dyDescent="0.3">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4.25" customHeight="1" x14ac:dyDescent="0.3">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4.25" customHeight="1" x14ac:dyDescent="0.3">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4.25" customHeight="1" x14ac:dyDescent="0.3">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4.25" customHeight="1" x14ac:dyDescent="0.3">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4.25" customHeight="1" x14ac:dyDescent="0.3">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4.25" customHeight="1" x14ac:dyDescent="0.3">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4.25" customHeight="1" x14ac:dyDescent="0.3">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4.25" customHeight="1" x14ac:dyDescent="0.3">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4.25" customHeight="1" x14ac:dyDescent="0.3">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4.25" customHeight="1" x14ac:dyDescent="0.3">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4.25" customHeight="1" x14ac:dyDescent="0.3">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4.25" customHeight="1" x14ac:dyDescent="0.3">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4.25" customHeight="1" x14ac:dyDescent="0.3">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4.25" customHeight="1" x14ac:dyDescent="0.3">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4.25" customHeight="1" x14ac:dyDescent="0.3">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4.25" customHeight="1" x14ac:dyDescent="0.3">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4.25" customHeight="1" x14ac:dyDescent="0.3">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4.25" customHeight="1" x14ac:dyDescent="0.3">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4.25" customHeight="1" x14ac:dyDescent="0.3">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4.25" customHeight="1" x14ac:dyDescent="0.3">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4.25" customHeight="1" x14ac:dyDescent="0.3">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4.25" customHeight="1" x14ac:dyDescent="0.3">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4.25" customHeight="1" x14ac:dyDescent="0.3">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4.25" customHeight="1" x14ac:dyDescent="0.3">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4.25" customHeight="1" x14ac:dyDescent="0.3">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4.25" customHeight="1" x14ac:dyDescent="0.3">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4.25" customHeight="1" x14ac:dyDescent="0.3">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4.25" customHeight="1" x14ac:dyDescent="0.3">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4.25" customHeight="1" x14ac:dyDescent="0.3">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4.25" customHeight="1" x14ac:dyDescent="0.3">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4.25" customHeight="1" x14ac:dyDescent="0.3">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4.25" customHeight="1" x14ac:dyDescent="0.3">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4.25" customHeight="1" x14ac:dyDescent="0.3">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4.25" customHeight="1" x14ac:dyDescent="0.3">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4.25" customHeight="1" x14ac:dyDescent="0.3">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4.25" customHeight="1" x14ac:dyDescent="0.3">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4.25" customHeight="1" x14ac:dyDescent="0.3">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4.25" customHeight="1" x14ac:dyDescent="0.3">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4.25" customHeight="1" x14ac:dyDescent="0.3">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4.25" customHeight="1" x14ac:dyDescent="0.3">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4.25" customHeight="1" x14ac:dyDescent="0.3">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4.25" customHeight="1" x14ac:dyDescent="0.3">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4.25" customHeight="1" x14ac:dyDescent="0.3">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4.25" customHeight="1" x14ac:dyDescent="0.3">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4.25" customHeight="1" x14ac:dyDescent="0.3">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4.25" customHeight="1" x14ac:dyDescent="0.3">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4.25" customHeight="1" x14ac:dyDescent="0.3">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4.25" customHeight="1" x14ac:dyDescent="0.3">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4.25" customHeight="1" x14ac:dyDescent="0.3">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4.25" customHeight="1" x14ac:dyDescent="0.3">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4.25" customHeight="1" x14ac:dyDescent="0.3">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4.25" customHeight="1" x14ac:dyDescent="0.3">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4.25" customHeight="1" x14ac:dyDescent="0.3">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4.25" customHeight="1" x14ac:dyDescent="0.3">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4.25" customHeight="1" x14ac:dyDescent="0.3">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4.25" customHeight="1" x14ac:dyDescent="0.3">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4.25" customHeight="1" x14ac:dyDescent="0.3">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4.25" customHeight="1" x14ac:dyDescent="0.3">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4.25" customHeight="1" x14ac:dyDescent="0.3">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4.25" customHeight="1" x14ac:dyDescent="0.3">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4.25" customHeight="1" x14ac:dyDescent="0.3">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4.25" customHeight="1" x14ac:dyDescent="0.3">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4.25" customHeight="1" x14ac:dyDescent="0.3">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4.25" customHeight="1" x14ac:dyDescent="0.3">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4.25" customHeight="1" x14ac:dyDescent="0.3">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4.25" customHeight="1" x14ac:dyDescent="0.3">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4.25" customHeight="1" x14ac:dyDescent="0.3">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4.25" customHeight="1" x14ac:dyDescent="0.3">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4.25" customHeight="1" x14ac:dyDescent="0.3">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4.25" customHeight="1" x14ac:dyDescent="0.3">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4.25" customHeight="1" x14ac:dyDescent="0.3">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4.25" customHeight="1" x14ac:dyDescent="0.3">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4.25" customHeight="1" x14ac:dyDescent="0.3">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4.25" customHeight="1" x14ac:dyDescent="0.3">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4.25" customHeight="1" x14ac:dyDescent="0.3">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4.25" customHeight="1" x14ac:dyDescent="0.3">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4.25" customHeight="1" x14ac:dyDescent="0.3">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4.25" customHeight="1" x14ac:dyDescent="0.3">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4.25" customHeight="1" x14ac:dyDescent="0.3">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4.25" customHeight="1" x14ac:dyDescent="0.3">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4.25" customHeight="1" x14ac:dyDescent="0.3">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4.25" customHeight="1" x14ac:dyDescent="0.3">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4.25" customHeight="1" x14ac:dyDescent="0.3">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4.25" customHeight="1" x14ac:dyDescent="0.3">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4.25" customHeight="1" x14ac:dyDescent="0.3">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4.25" customHeight="1" x14ac:dyDescent="0.3">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4.25" customHeight="1" x14ac:dyDescent="0.3">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4.25" customHeight="1" x14ac:dyDescent="0.3">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4.25" customHeight="1" x14ac:dyDescent="0.3">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4.25" customHeight="1" x14ac:dyDescent="0.3">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4.25" customHeight="1" x14ac:dyDescent="0.3">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4.25" customHeight="1" x14ac:dyDescent="0.3">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4.25" customHeight="1" x14ac:dyDescent="0.3">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4.25" customHeight="1" x14ac:dyDescent="0.3">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4.25" customHeight="1" x14ac:dyDescent="0.3">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4.25" customHeight="1" x14ac:dyDescent="0.3">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4.25" customHeight="1" x14ac:dyDescent="0.3">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4.25" customHeight="1" x14ac:dyDescent="0.3">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4.25" customHeight="1" x14ac:dyDescent="0.3">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4.25" customHeight="1" x14ac:dyDescent="0.3">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4.25" customHeight="1" x14ac:dyDescent="0.3">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4.25" customHeight="1" x14ac:dyDescent="0.3">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4.25" customHeight="1" x14ac:dyDescent="0.3">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4.25" customHeight="1" x14ac:dyDescent="0.3">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4.25" customHeight="1" x14ac:dyDescent="0.3">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4.25" customHeight="1" x14ac:dyDescent="0.3">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4.25" customHeight="1" x14ac:dyDescent="0.3">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4.25" customHeight="1" x14ac:dyDescent="0.3">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4.25" customHeight="1" x14ac:dyDescent="0.3">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4.25" customHeight="1" x14ac:dyDescent="0.3">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4.25" customHeight="1" x14ac:dyDescent="0.3">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4.25" customHeight="1" x14ac:dyDescent="0.3">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4.25" customHeight="1" x14ac:dyDescent="0.3">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4.25" customHeight="1" x14ac:dyDescent="0.3">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4.25" customHeight="1" x14ac:dyDescent="0.3">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4.25" customHeight="1" x14ac:dyDescent="0.3">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4.25" customHeight="1" x14ac:dyDescent="0.3">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4.25" customHeight="1" x14ac:dyDescent="0.3">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4.25" customHeight="1" x14ac:dyDescent="0.3">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4.25" customHeight="1" x14ac:dyDescent="0.3">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4.25" customHeight="1" x14ac:dyDescent="0.3">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4.25" customHeight="1" x14ac:dyDescent="0.3">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4.25" customHeight="1" x14ac:dyDescent="0.3">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4.25" customHeight="1" x14ac:dyDescent="0.3">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4.25" customHeight="1" x14ac:dyDescent="0.3">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4.25" customHeight="1" x14ac:dyDescent="0.3">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4.25" customHeight="1" x14ac:dyDescent="0.3">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4.25" customHeight="1" x14ac:dyDescent="0.3">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4.25" customHeight="1" x14ac:dyDescent="0.3">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4.25" customHeight="1" x14ac:dyDescent="0.3">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4.25" customHeight="1" x14ac:dyDescent="0.3">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4.25" customHeight="1" x14ac:dyDescent="0.3">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4.25" customHeight="1" x14ac:dyDescent="0.3">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4.25" customHeight="1" x14ac:dyDescent="0.3">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4.25" customHeight="1" x14ac:dyDescent="0.3">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4.25" customHeight="1" x14ac:dyDescent="0.3">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4.25" customHeight="1" x14ac:dyDescent="0.3">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4.25" customHeight="1" x14ac:dyDescent="0.3">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4.25" customHeight="1" x14ac:dyDescent="0.3">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4.25" customHeight="1" x14ac:dyDescent="0.3">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4.25" customHeight="1" x14ac:dyDescent="0.3">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4.25" customHeight="1" x14ac:dyDescent="0.3">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4.25" customHeight="1" x14ac:dyDescent="0.3">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4.25" customHeight="1" x14ac:dyDescent="0.3">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4.25" customHeight="1" x14ac:dyDescent="0.3">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4.25" customHeight="1" x14ac:dyDescent="0.3">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4.25" customHeight="1" x14ac:dyDescent="0.3">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4.25" customHeight="1" x14ac:dyDescent="0.3">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4.25" customHeight="1" x14ac:dyDescent="0.3">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4.25" customHeight="1" x14ac:dyDescent="0.3">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4.25" customHeight="1" x14ac:dyDescent="0.3">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4.25" customHeight="1" x14ac:dyDescent="0.3">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4.25" customHeight="1" x14ac:dyDescent="0.3">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4.25" customHeight="1" x14ac:dyDescent="0.3">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4.25" customHeight="1" x14ac:dyDescent="0.3">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4.25" customHeight="1" x14ac:dyDescent="0.3">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4.25" customHeight="1" x14ac:dyDescent="0.3">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4.25" customHeight="1" x14ac:dyDescent="0.3">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4.25" customHeight="1" x14ac:dyDescent="0.3">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4.25" customHeight="1" x14ac:dyDescent="0.3">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4.25" customHeight="1" x14ac:dyDescent="0.3">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4.25" customHeight="1" x14ac:dyDescent="0.3">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4.25" customHeight="1" x14ac:dyDescent="0.3">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4.25" customHeight="1" x14ac:dyDescent="0.3">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4.25" customHeight="1" x14ac:dyDescent="0.3">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4.25" customHeight="1" x14ac:dyDescent="0.3">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4.25" customHeight="1" x14ac:dyDescent="0.3">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4.25" customHeight="1" x14ac:dyDescent="0.3">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4.25" customHeight="1" x14ac:dyDescent="0.3">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4.25" customHeight="1" x14ac:dyDescent="0.3">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4.25" customHeight="1" x14ac:dyDescent="0.3">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4.25" customHeight="1" x14ac:dyDescent="0.3">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4.25" customHeight="1" x14ac:dyDescent="0.3">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4.25" customHeight="1" x14ac:dyDescent="0.3">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4.25" customHeight="1" x14ac:dyDescent="0.3">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4.25" customHeight="1" x14ac:dyDescent="0.3">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4.25" customHeight="1" x14ac:dyDescent="0.3">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4.25" customHeight="1" x14ac:dyDescent="0.3">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4.25" customHeight="1" x14ac:dyDescent="0.3">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4.25" customHeight="1" x14ac:dyDescent="0.3">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4.25" customHeight="1" x14ac:dyDescent="0.3">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4.25" customHeight="1" x14ac:dyDescent="0.3">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4.25" customHeight="1" x14ac:dyDescent="0.3">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4.25" customHeight="1" x14ac:dyDescent="0.3">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4.25" customHeight="1" x14ac:dyDescent="0.3">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4.25" customHeight="1" x14ac:dyDescent="0.3">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4.25" customHeight="1" x14ac:dyDescent="0.3">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4.25" customHeight="1" x14ac:dyDescent="0.3">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4.25" customHeight="1" x14ac:dyDescent="0.3">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4.25" customHeight="1" x14ac:dyDescent="0.3">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4.25" customHeight="1" x14ac:dyDescent="0.3">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4.25" customHeight="1" x14ac:dyDescent="0.3">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4.25" customHeight="1" x14ac:dyDescent="0.3">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4.25" customHeight="1" x14ac:dyDescent="0.3">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4.25" customHeight="1" x14ac:dyDescent="0.3">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4.25" customHeight="1" x14ac:dyDescent="0.3">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4.25" customHeight="1" x14ac:dyDescent="0.3">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4.25" customHeight="1" x14ac:dyDescent="0.3">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4.25" customHeight="1" x14ac:dyDescent="0.3">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4.25" customHeight="1" x14ac:dyDescent="0.3">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4.25" customHeight="1" x14ac:dyDescent="0.3">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4.25" customHeight="1" x14ac:dyDescent="0.3">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4.25" customHeight="1" x14ac:dyDescent="0.3">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4.25" customHeight="1" x14ac:dyDescent="0.3">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4.25" customHeight="1" x14ac:dyDescent="0.3">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4.25" customHeight="1" x14ac:dyDescent="0.3">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4.25" customHeight="1" x14ac:dyDescent="0.3">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4.25" customHeight="1" x14ac:dyDescent="0.3">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4.25" customHeight="1" x14ac:dyDescent="0.3">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4.25" customHeight="1" x14ac:dyDescent="0.3">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4.25" customHeight="1" x14ac:dyDescent="0.3">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4.25" customHeight="1" x14ac:dyDescent="0.3">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4.25" customHeight="1" x14ac:dyDescent="0.3">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4.25" customHeight="1" x14ac:dyDescent="0.3">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4.25" customHeight="1" x14ac:dyDescent="0.3">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4.25" customHeight="1" x14ac:dyDescent="0.3">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4.25" customHeight="1" x14ac:dyDescent="0.3">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4.25" customHeight="1" x14ac:dyDescent="0.3">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4.25" customHeight="1" x14ac:dyDescent="0.3">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4.25" customHeight="1" x14ac:dyDescent="0.3">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4.25" customHeight="1" x14ac:dyDescent="0.3">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4.25" customHeight="1" x14ac:dyDescent="0.3">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4.25" customHeight="1" x14ac:dyDescent="0.3">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4.25" customHeight="1" x14ac:dyDescent="0.3">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4.25" customHeight="1" x14ac:dyDescent="0.3">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4.25" customHeight="1" x14ac:dyDescent="0.3">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4.25" customHeight="1" x14ac:dyDescent="0.3">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4.25" customHeight="1" x14ac:dyDescent="0.3">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4.25" customHeight="1" x14ac:dyDescent="0.3">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4.25" customHeight="1" x14ac:dyDescent="0.3">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4.25" customHeight="1" x14ac:dyDescent="0.3">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4.25" customHeight="1" x14ac:dyDescent="0.3">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4.25" customHeight="1" x14ac:dyDescent="0.3">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4.25" customHeight="1" x14ac:dyDescent="0.3">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4.25" customHeight="1" x14ac:dyDescent="0.3">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4.25" customHeight="1" x14ac:dyDescent="0.3">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4.25" customHeight="1" x14ac:dyDescent="0.3">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4.25" customHeight="1" x14ac:dyDescent="0.3">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4.25" customHeight="1" x14ac:dyDescent="0.3">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4.25" customHeight="1" x14ac:dyDescent="0.3">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4.25" customHeight="1" x14ac:dyDescent="0.3">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4.25" customHeight="1" x14ac:dyDescent="0.3">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4.25" customHeight="1" x14ac:dyDescent="0.3">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4.25" customHeight="1" x14ac:dyDescent="0.3">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4.25" customHeight="1" x14ac:dyDescent="0.3">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4.25" customHeight="1" x14ac:dyDescent="0.3">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4.25" customHeight="1" x14ac:dyDescent="0.3">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4.25" customHeight="1" x14ac:dyDescent="0.3">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4.25" customHeight="1" x14ac:dyDescent="0.3">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4.25" customHeight="1" x14ac:dyDescent="0.3">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4.25" customHeight="1" x14ac:dyDescent="0.3">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4.25" customHeight="1" x14ac:dyDescent="0.3">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4.25" customHeight="1" x14ac:dyDescent="0.3">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4.25" customHeight="1" x14ac:dyDescent="0.3">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4.25" customHeight="1" x14ac:dyDescent="0.3">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4.25" customHeight="1" x14ac:dyDescent="0.3">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4.25" customHeight="1" x14ac:dyDescent="0.3">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4.25" customHeight="1" x14ac:dyDescent="0.3">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4.25" customHeight="1" x14ac:dyDescent="0.3">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4.25" customHeight="1" x14ac:dyDescent="0.3">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4.25" customHeight="1" x14ac:dyDescent="0.3">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4.25" customHeight="1" x14ac:dyDescent="0.3">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4.25" customHeight="1" x14ac:dyDescent="0.3">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4.25" customHeight="1" x14ac:dyDescent="0.3">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4.25" customHeight="1" x14ac:dyDescent="0.3">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4.25" customHeight="1" x14ac:dyDescent="0.3">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4.25" customHeight="1" x14ac:dyDescent="0.3">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4.25" customHeight="1" x14ac:dyDescent="0.3">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4.25" customHeight="1" x14ac:dyDescent="0.3">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4.25" customHeight="1" x14ac:dyDescent="0.3">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4.25" customHeight="1" x14ac:dyDescent="0.3">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4.25" customHeight="1" x14ac:dyDescent="0.3">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4.25" customHeight="1" x14ac:dyDescent="0.3">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4.25" customHeight="1" x14ac:dyDescent="0.3">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4.25" customHeight="1" x14ac:dyDescent="0.3">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4.25" customHeight="1" x14ac:dyDescent="0.3">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4.25" customHeight="1" x14ac:dyDescent="0.3">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4.25" customHeight="1" x14ac:dyDescent="0.3">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4.25" customHeight="1" x14ac:dyDescent="0.3">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4.25" customHeight="1" x14ac:dyDescent="0.3">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pageMargins left="0.7" right="1.7" top="0.75" bottom="0.75" header="0" footer="0"/>
  <pageSetup orientation="landscape"/>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HR Mariz Malagum</dc:creator>
  <cp:lastModifiedBy>Omnya Ramadan Ahmed Mohamed</cp:lastModifiedBy>
  <dcterms:created xsi:type="dcterms:W3CDTF">2022-10-19T14:39:38Z</dcterms:created>
  <dcterms:modified xsi:type="dcterms:W3CDTF">2023-10-14T18:19:38Z</dcterms:modified>
</cp:coreProperties>
</file>